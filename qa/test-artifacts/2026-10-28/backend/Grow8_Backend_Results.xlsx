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54034ee55643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7c7ad010a884678"/>
    <x:sheet xmlns:r="http://schemas.openxmlformats.org/officeDocument/2006/relationships" name="Approved Cases" sheetId="2" r:id="Ra86266778abd4654"/>
    <x:sheet xmlns:r="http://schemas.openxmlformats.org/officeDocument/2006/relationships" name="API Summary" sheetId="3" r:id="R484c12963423471f"/>
    <x:sheet xmlns:r="http://schemas.openxmlformats.org/officeDocument/2006/relationships" name="Scope &amp; Instructions" sheetId="4" r:id="Reafb71227f09420f"/>
    <x:sheet xmlns:r="http://schemas.openxmlformats.org/officeDocument/2006/relationships" name="HTTP Evidence" sheetId="5" r:id="R99a27d26e70345d4"/>
    <x:sheet xmlns:r="http://schemas.openxmlformats.org/officeDocument/2006/relationships" name="Execution Summary" sheetId="6" r:id="R34a6b035d2d14a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yyyy-mm-dd hh:mm"/>
    <x:numFmt numFmtId="202" formatCode="0.0%"/>
    <x:numFmt numFmtId="203" formatCode="0.00%"/>
  </x:numFmts>
  <x:fonts count="21">
    <x:font>
      <x:sz val="11"/>
      <x:name val="Carlito"/>
    </x:font>
    <x:font>
      <x:b/>
      <x:sz val="16"/>
      <x:color rgb="FFFFFFFF"/>
      <x:name val="Carlito"/>
    </x:font>
    <x:font>
      <x:sz val="10"/>
      <x:color rgb="FF51647A"/>
      <x:name val="Carlito"/>
    </x:font>
    <x:font>
      <x:sz val="10"/>
      <x:color rgb="FF9B5805"/>
      <x:name val="Carlito"/>
    </x:font>
    <x:font>
      <x:b/>
      <x:sz val="10"/>
      <x:color rgb="FFFFFFFF"/>
      <x:name val="Carlito"/>
    </x:font>
    <x:font>
      <x:sz val="10"/>
      <x:color rgb="FF182D40"/>
      <x:name val="Carlito"/>
    </x:font>
    <x:font>
      <x:sz val="10"/>
      <x:color rgb="FF126E55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42E4E"/>
      <x:name val="Carlito"/>
    </x:font>
    <x:font>
      <x:b/>
      <x:sz val="21"/>
      <x:color rgb="FFFFFFFF"/>
      <x:name val="Carlito"/>
    </x:font>
    <x:font>
      <x:sz val="11"/>
      <x:color rgb="FF51647A"/>
      <x:name val="Carlito"/>
    </x:font>
    <x:font>
      <x:b/>
      <x:sz val="9"/>
      <x:color rgb="FF51647A"/>
      <x:name val="Carlito"/>
    </x:font>
    <x:font>
      <x:b/>
      <x:sz val="24"/>
      <x:color rgb="FF087C83"/>
      <x:name val="Carlito"/>
    </x:font>
    <x:font>
      <x:sz val="11"/>
      <x:color rgb="FF182D40"/>
      <x:name val="Carlito"/>
    </x:font>
    <x:font>
      <x:b/>
      <x:sz val="11"/>
      <x:color rgb="FF16324F"/>
      <x:name val="Carlito"/>
    </x:font>
    <x:font>
      <x:b/>
      <x:sz val="18"/>
      <x:color rgb="FF16324F"/>
      <x:name val="Carlito"/>
    </x:font>
    <x:font>
      <x:b/>
      <x:sz val="18"/>
      <x:color rgb="FF17623A"/>
      <x:name val="Carlito"/>
    </x:font>
    <x:font>
      <x:b/>
      <x:sz val="18"/>
      <x:color rgb="FFA62323"/>
      <x:name val="Carlito"/>
    </x:font>
    <x:font>
      <x:b/>
      <x:sz val="11"/>
      <x:color rgb="FFA62323"/>
      <x:name val="Carlito"/>
    </x:font>
    <x:font>
      <x:b/>
      <x:sz val="11"/>
      <x:color rgb="FF865514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42E4E"/>
      </x:patternFill>
    </x:fill>
    <x:fill>
      <x:patternFill patternType="solid">
        <x:fgColor rgb="FFEFF5FB"/>
      </x:patternFill>
    </x:fill>
    <x:fill>
      <x:patternFill patternType="solid">
        <x:fgColor rgb="FFFFF2D8"/>
      </x:patternFill>
    </x:fill>
    <x:fill>
      <x:patternFill patternType="solid">
        <x:fgColor rgb="FF087C83"/>
      </x:patternFill>
    </x:fill>
    <x:fill>
      <x:patternFill patternType="solid">
        <x:fgColor rgb="FFE9F7EF"/>
      </x:patternFill>
    </x:fill>
    <x:fill>
      <x:patternFill patternType="solid">
        <x:fgColor rgb="FFF6F8FB"/>
      </x:patternFill>
    </x:fill>
    <x:fill>
      <x:patternFill patternType="solid">
        <x:fgColor rgb="FFE6F4F2"/>
      </x:patternFill>
    </x:fill>
    <x:fill>
      <x:patternFill patternType="solid">
        <x:fgColor rgb="FFF7FAFD"/>
      </x:patternFill>
    </x:fill>
    <x:fill>
      <x:patternFill patternType="solid">
        <x:fgColor rgb="FF16324F"/>
      </x:patternFill>
    </x:fill>
    <x:fill>
      <x:patternFill patternType="solid">
        <x:fgColor rgb="FFE8F1F7"/>
      </x:patternFill>
    </x:fill>
    <x:fill>
      <x:patternFill patternType="solid">
        <x:fgColor rgb="FFF2F7FA"/>
      </x:patternFill>
    </x:fill>
    <x:fill>
      <x:patternFill patternType="solid">
        <x:fgColor rgb="FFFCE3E2"/>
      </x:patternFill>
    </x:fill>
    <x:fill>
      <x:patternFill patternType="solid">
        <x:fgColor rgb="FFFFF0D2"/>
      </x:patternFill>
    </x:fill>
  </x:fills>
  <x:borders count="2">
    <x:border/>
    <x:border/>
  </x:borders>
  <x:cellStyleXfs count="1">
    <x:xf numFmtId="0" fontId="0" fillId="0" borderId="0"/>
  </x:cellStyleXfs>
  <x:cellXfs count="1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/>
    </x:xf>
    <x:xf numFmtId="0" fontId="5" fillId="7" borderId="1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8" fillId="5" borderId="0" xfId="0" applyNumberFormat="1" applyFont="1" applyFill="1" applyBorder="1"/>
    <x:xf numFmtId="0" fontId="8" fillId="5" borderId="1" xfId="0" applyNumberFormat="1" applyFont="1" applyFill="1" applyBorder="1"/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0" fillId="8" borderId="1" xfId="0" applyNumberFormat="1" applyFont="1" applyFill="1" applyBorder="1"/>
    <x:xf numFmtId="0" fontId="9" fillId="8" borderId="1" xfId="0" applyNumberFormat="1" applyFont="1" applyFill="1" applyBorder="1"/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10" fillId="2" borderId="1" xfId="0" applyNumberFormat="1" applyFont="1" applyFill="1" applyBorder="1"/>
    <x:xf numFmtId="0" fontId="10" fillId="2" borderId="1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/>
    <x:xf numFmtId="0" fontId="11" fillId="3" borderId="1" xfId="0" applyNumberFormat="1" applyFont="1" applyFill="1" applyBorder="1"/>
    <x:xf numFmtId="0" fontId="12" fillId="3" borderId="0" xfId="0" applyNumberFormat="1" applyFont="1" applyFill="1" applyBorder="1"/>
    <x:xf numFmtId="0" fontId="12" fillId="3" borderId="0" xfId="0" applyNumberFormat="1" applyFont="1" applyFill="1" applyBorder="1" applyAlignment="1">
      <x:alignment horizontal="center"/>
    </x:xf>
    <x:xf numFmtId="0" fontId="12" fillId="3" borderId="1" xfId="0" applyNumberFormat="1" applyFont="1" applyFill="1" applyBorder="1"/>
    <x:xf numFmtId="0" fontId="12" fillId="3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13" fillId="9" borderId="0" xfId="0" applyNumberFormat="1" applyFont="1" applyFill="1" applyBorder="1"/>
    <x:xf numFmtId="0" fontId="13" fillId="9" borderId="0" xfId="0" applyNumberFormat="1" applyFont="1" applyFill="1" applyBorder="1" applyAlignment="1">
      <x:alignment horizontal="center"/>
    </x:xf>
    <x:xf numFmtId="0" fontId="13" fillId="9" borderId="0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/>
    <x:xf numFmtId="0" fontId="13" fillId="9" borderId="1" xfId="0" applyNumberFormat="1" applyFont="1" applyFill="1" applyBorder="1"/>
    <x:xf numFmtId="0" fontId="13" fillId="9" borderId="1" xfId="0" applyNumberFormat="1" applyFont="1" applyFill="1" applyBorder="1" applyAlignment="1">
      <x:alignment horizontal="center"/>
    </x:xf>
    <x:xf numFmtId="0" fontId="13" fillId="9" borderId="1" xfId="0" applyNumberFormat="1" applyFont="1" applyFill="1" applyBorder="1" applyAlignment="1">
      <x:alignment horizontal="center" vertical="center"/>
    </x:xf>
    <x:xf numFmtId="0" fontId="9" fillId="3" borderId="0" xfId="0" applyNumberFormat="1" applyFont="1" applyFill="1" applyBorder="1"/>
    <x:xf numFmtId="0" fontId="9" fillId="3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wrapText="1"/>
    </x:xf>
    <x:xf numFmtId="0" fontId="14" fillId="0" borderId="1" xfId="0" applyNumberFormat="1" applyFont="1" applyFill="1" applyBorder="1"/>
    <x:xf numFmtId="0" fontId="14" fillId="0" borderId="1" xfId="0" applyNumberFormat="1" applyFont="1" applyFill="1" applyBorder="1" applyAlignment="1">
      <x:alignment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1" xfId="0" applyNumberFormat="1" applyFont="1" applyFill="1" applyBorder="1"/>
    <x:xf numFmtId="0" fontId="11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1" fontId="5" fillId="0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  <x:xf numFmtId="201" fontId="5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15" fillId="11" borderId="0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 applyAlignment="1">
      <x:alignment vertical="center"/>
    </x:xf>
    <x:xf numFmtId="203" fontId="0" fillId="12" borderId="0" xfId="0" applyNumberFormat="1" applyFont="1" applyFill="1" applyBorder="1" applyAlignment="1">
      <x:alignment vertical="center"/>
    </x:xf>
    <x:xf numFmtId="0" fontId="16" fillId="11" borderId="0" xfId="0" applyNumberFormat="1" applyFont="1" applyFill="1" applyBorder="1" applyAlignment="1">
      <x:alignment vertical="center"/>
    </x:xf>
    <x:xf numFmtId="0" fontId="17" fillId="11" borderId="0" xfId="0" applyNumberFormat="1" applyFont="1" applyFill="1" applyBorder="1" applyAlignment="1">
      <x:alignment vertical="center"/>
    </x:xf>
    <x:xf numFmtId="0" fontId="18" fillId="11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19" fillId="13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20" fillId="14" borderId="0" xfId="0" applyNumberFormat="1" applyFont="1" applyFill="1" applyBorder="1"/>
  </x:cellXfs>
  <x:cellStyles count="1">
    <x:cellStyle name="Normal" xfId="0"/>
  </x:cellStyles>
  <x:dxfs count="8">
    <x:dxf>
      <x:font>
        <x:color rgb="FF9B5805"/>
      </x:font>
      <x:fill>
        <x:patternFill>
          <x:bgColor rgb="FFFFF2D8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9B5805"/>
      </x:font>
      <x:fill>
        <x:patternFill>
          <x:bgColor rgb="FFFFF2D8"/>
        </x:patternFill>
      </x:fill>
    </x:dxf>
    <x:dxf>
      <x:font>
        <x:color rgb="FF17623A"/>
      </x:font>
      <x:fill>
        <x:patternFill patternType="solid">
          <x:bgColor rgb="FFDFF3E6"/>
        </x:patternFill>
      </x:fill>
    </x:dxf>
    <x:dxf>
      <x:font>
        <x:b/>
        <x:color rgb="FFA62323"/>
      </x:font>
      <x:fill>
        <x:patternFill patternType="solid">
          <x:bgColor rgb="FFFCE3E2"/>
        </x:patternFill>
      </x:fill>
    </x:dxf>
    <x:dxf>
      <x:font>
        <x:color rgb="FF915E16"/>
      </x:font>
      <x:fill>
        <x:patternFill patternType="solid">
          <x:bgColor rgb="FFFFF0D2"/>
        </x:patternFill>
      </x:fill>
    </x:dxf>
    <x:dxf>
      <x:font>
        <x:color rgb="FF9D1C21"/>
      </x:font>
      <x:fill>
        <x:patternFill patternType="solid">
          <x:bgColor rgb="FFFCE3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ca95674e514adb" /><Relationship Type="http://schemas.openxmlformats.org/officeDocument/2006/relationships/theme" Target="/xl/theme/theme1.xml" Id="R0ab7a76dd86d46df" /><Relationship Type="http://schemas.openxmlformats.org/officeDocument/2006/relationships/sharedStrings" Target="/xl/sharedStrings.xml" Id="R2d8d907e82a44656" /><Relationship Type="http://schemas.openxmlformats.org/officeDocument/2006/relationships/worksheet" Target="/xl/worksheets/sheet1.xml" Id="Re7c7ad010a884678" /><Relationship Type="http://schemas.openxmlformats.org/officeDocument/2006/relationships/worksheet" Target="/xl/worksheets/sheet2.xml" Id="Ra86266778abd4654" /><Relationship Type="http://schemas.openxmlformats.org/officeDocument/2006/relationships/worksheet" Target="/xl/worksheets/sheet3.xml" Id="R484c12963423471f" /><Relationship Type="http://schemas.openxmlformats.org/officeDocument/2006/relationships/worksheet" Target="/xl/worksheets/sheet4.xml" Id="Reafb71227f09420f" /><Relationship Type="http://schemas.openxmlformats.org/officeDocument/2006/relationships/worksheet" Target="/xl/worksheets/sheet5.xml" Id="R99a27d26e70345d4" /><Relationship Type="http://schemas.openxmlformats.org/officeDocument/2006/relationships/worksheet" Target="/xl/worksheets/sheet6.xml" Id="R34a6b035d2d14a43" /></Relationships>
</file>

<file path=xl/tables/table1.xml><?xml version="1.0" encoding="utf-8"?>
<x:table xmlns:x="http://schemas.openxmlformats.org/spreadsheetml/2006/main" id="1" name="Grow8ApprovedCases" displayName="Grow8ApprovedCases" ref="A4:M241" headerRowCount="1" totalsRowCount="0" totalsRowShown="0">
  <x:tableColumns count="13">
    <x:tableColumn id="1" name="Test Case ID"/>
    <x:tableColumn id="2" name="API Name"/>
    <x:tableColumn id="3" name="Method"/>
    <x:tableColumn id="4" name="Endpoint"/>
    <x:tableColumn id="5" name="Approved Test Scenario"/>
    <x:tableColumn id="6" name="Expected Result"/>
    <x:tableColumn id="7" name="Approval"/>
    <x:tableColumn id="8" name="Automation Scope"/>
    <x:tableColumn id="9" name="Execution Status"/>
    <x:tableColumn id="10" name="Actual Result"/>
    <x:tableColumn id="11" name="Tester Notes"/>
    <x:tableColumn id="12" name="Evidence / HTML Link"/>
    <x:tableColumn id="13" name="Executed 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row8APISummary" displayName="Grow8APISummary" ref="A4:F19" headerRowCount="1" totalsRowCount="0" totalsRowShown="0">
  <x:tableColumns count="6">
    <x:tableColumn id="1" name="API Name"/>
    <x:tableColumn id="2" name="Method"/>
    <x:tableColumn id="3" name="Endpoint"/>
    <x:tableColumn id="4" name="Approved Cases"/>
    <x:tableColumn id="5" name="In Scope"/>
    <x:tableColumn id="6" name="Deferr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row8HttpEvidence" displayName="Grow8HttpEvidence" ref="A1:K488" headerRowCount="1" totalsRowCount="0" totalsRowShown="0">
  <x:tableColumns count="11">
    <x:tableColumn id="1" name="Test Case ID"/>
    <x:tableColumn id="2" name="API"/>
    <x:tableColumn id="3" name="Test Status"/>
    <x:tableColumn id="4" name="Call #"/>
    <x:tableColumn id="5" name="HTTP Method"/>
    <x:tableColumn id="6" name="Request URL"/>
    <x:tableColumn id="7" name="Query Parameters"/>
    <x:tableColumn id="8" name="Request Body (redacted)"/>
    <x:tableColumn id="9" name="Actual HTTP Status"/>
    <x:tableColumn id="10" name="Actual Response (redacted; truncated where needed)"/>
    <x:tableColumn id="11" name="Case Dur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ebdec0514a745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2e7ec6492bb44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cc49e2839794416e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51" t="str">
        <x:v>GROW8  |  BACKEND QA</x:v>
      </x:c>
      <x:c r="B1" s="51"/>
      <x:c r="C1" s="51"/>
      <x:c r="D1" s="51"/>
      <x:c r="E1" s="51"/>
      <x:c r="F1" s="51"/>
      <x:c r="G1" s="51"/>
      <x:c r="H1" s="51"/>
    </x:row>
    <x:row r="2" ht="28" customHeight="1">
      <x:c r="A2" s="51"/>
      <x:c r="B2" s="51"/>
      <x:c r="C2" s="51"/>
      <x:c r="D2" s="51"/>
      <x:c r="E2" s="51"/>
      <x:c r="F2" s="51"/>
      <x:c r="G2" s="51"/>
      <x:c r="H2" s="51"/>
    </x:row>
    <x:row r="3" ht="30" customHeight="1">
      <x:c r="A3" s="54" t="str">
        <x:v>Approved 237 cases  •  Latest Pytest HTML execution: 28 Oct 2026 06:04:29</x:v>
      </x:c>
      <x:c r="B3" s="54"/>
      <x:c r="C3" s="54"/>
      <x:c r="D3" s="54"/>
      <x:c r="E3" s="54"/>
      <x:c r="F3" s="54"/>
      <x:c r="G3" s="54"/>
      <x:c r="H3" s="54"/>
    </x:row>
    <x:row r="5" ht="27" customHeight="1">
      <x:c r="A5" s="57" t="str">
        <x:v>APPROVED CASE IDS</x:v>
      </x:c>
      <x:c r="B5" s="57"/>
      <x:c r="C5" s="57" t="str">
        <x:v>IN INITIAL SCOPE</x:v>
      </x:c>
      <x:c r="D5" s="57"/>
      <x:c r="E5" s="57" t="str">
        <x:v>DEFERRED</x:v>
      </x:c>
      <x:c r="F5" s="57"/>
      <x:c r="G5" s="57" t="str">
        <x:v>ACTUAL PASSES</x:v>
      </x:c>
      <x:c r="H5" s="57"/>
    </x:row>
    <x:row r="6" ht="19" customHeight="1">
      <x:c r="A6" s="63" t="n">
        <x:f>COUNTA('Approved Cases'!$A$5:$A$241)</x:f>
        <x:v>237</x:v>
      </x:c>
      <x:c r="B6" s="63"/>
      <x:c r="C6" s="63" t="n">
        <x:f>COUNTIF('Approved Cases'!$H$5:$H$241,"In scope")</x:f>
        <x:v>232</x:v>
      </x:c>
      <x:c r="D6" s="63"/>
      <x:c r="E6" s="63" t="n">
        <x:f>COUNTIF('Approved Cases'!$H$5:$H$241,"Deferred — infrastructure")</x:f>
        <x:v>5</x:v>
      </x:c>
      <x:c r="F6" s="63"/>
      <x:c r="G6" s="63" t="n">
        <x:f>COUNTIF('Approved Cases'!$I$5:$I$241,"Passed")</x:f>
        <x:v>231</x:v>
      </x:c>
      <x:c r="H6" s="63"/>
    </x:row>
    <x:row r="7" ht="19" customHeight="1">
      <x:c r="A7" s="63"/>
      <x:c r="B7" s="63"/>
      <x:c r="C7" s="63"/>
      <x:c r="D7" s="63"/>
      <x:c r="E7" s="63"/>
      <x:c r="F7" s="63"/>
      <x:c r="G7" s="63"/>
      <x:c r="H7" s="63"/>
    </x:row>
    <x:row r="8" ht="19" customHeight="1">
      <x:c r="A8" s="63"/>
      <x:c r="B8" s="63"/>
      <x:c r="C8" s="63"/>
      <x:c r="D8" s="63"/>
      <x:c r="E8" s="63"/>
      <x:c r="F8" s="63"/>
      <x:c r="G8" s="63"/>
      <x:c r="H8" s="63"/>
    </x:row>
    <x:row r="10" ht="29" customHeight="1">
      <x:c r="A10" s="44" t="str">
        <x:v>APPROVAL AND EXECUTION STATUS</x:v>
      </x:c>
      <x:c r="B10" s="44"/>
      <x:c r="C10" s="44"/>
      <x:c r="D10" s="44"/>
      <x:c r="E10" s="44"/>
      <x:c r="F10" s="44"/>
      <x:c r="G10" s="44"/>
      <x:c r="H10" s="44"/>
    </x:row>
    <x:row r="12" ht="25" customHeight="1">
      <x:c r="A12" s="68" t="str">
        <x:v>Metric</x:v>
      </x:c>
      <x:c r="B12" s="68" t="str">
        <x:v>Count</x:v>
      </x:c>
      <x:c r="C12" s="68" t="str">
        <x:v>Meaning</x:v>
      </x:c>
    </x:row>
    <x:row r="13" ht="29" customHeight="1">
      <x:c r="A13" s="28" t="str">
        <x:v>Approved endpoints</x:v>
      </x:c>
      <x:c r="B13" s="28" t="n">
        <x:v>15</x:v>
      </x:c>
      <x:c r="C13" s="28" t="str">
        <x:v>One API at a time; all approved</x:v>
      </x:c>
    </x:row>
    <x:row r="14" ht="29" customHeight="1">
      <x:c r="A14" s="28" t="str">
        <x:v>Not Run</x:v>
      </x:c>
      <x:c r="B14" s="28" t="n">
        <x:f>COUNTIF('Approved Cases'!$I$5:$I$241,"Not Run")</x:f>
        <x:v>0</x:v>
      </x:c>
      <x:c r="C14" s="28" t="str">
        <x:v>Cases not represented in uploaded HTML report</x:v>
      </x:c>
    </x:row>
    <x:row r="15" ht="29" customHeight="1">
      <x:c r="A15" s="28" t="str">
        <x:v>Passed</x:v>
      </x:c>
      <x:c r="B15" s="28" t="n">
        <x:f>COUNTIF('Approved Cases'!$I$5:$I$241,"Passed")</x:f>
        <x:v>231</x:v>
      </x:c>
      <x:c r="C15" s="28" t="str">
        <x:v>Passed in uploaded pytest-html report</x:v>
      </x:c>
    </x:row>
    <x:row r="16" ht="29" customHeight="1">
      <x:c r="A16" s="28" t="str">
        <x:v>Failed</x:v>
      </x:c>
      <x:c r="B16" s="28" t="n">
        <x:f>COUNTIF('Approved Cases'!$I$5:$I$241,"Failed")</x:f>
        <x:v>1</x:v>
      </x:c>
      <x:c r="C16" s="28" t="str">
        <x:v>Failed in uploaded pytest-html report — see AUTH-024</x:v>
      </x:c>
    </x:row>
    <x:row r="17" ht="29" customHeight="1">
      <x:c r="A17" s="28" t="str">
        <x:v>Blocked/Skipped</x:v>
      </x:c>
      <x:c r="B17" s="28" t="n">
        <x:f>COUNTIF('Approved Cases'!$I$5:$I$241,"Blocked")+COUNTIF('Approved Cases'!$I$5:$I$241,"Skipped")</x:f>
        <x:v>5</x:v>
      </x:c>
      <x:c r="C17" s="28" t="str">
        <x:v>Skipped intentionally: dependency failure tests outside scope</x:v>
      </x:c>
    </x:row>
    <x:row r="19" ht="29" customHeight="1">
      <x:c r="A19" s="44" t="str">
        <x:v>EXECUTION SCOPE AND SAFEGUARDS</x:v>
      </x:c>
      <x:c r="B19" s="44"/>
      <x:c r="C19" s="44"/>
      <x:c r="D19" s="44"/>
      <x:c r="E19" s="44"/>
      <x:c r="F19" s="44"/>
      <x:c r="G19" s="44"/>
      <x:c r="H19" s="44"/>
    </x:row>
    <x:row r="21" ht="25" customHeight="1">
      <x:c r="A21" s="71" t="str">
        <x:v>• 237 approved case IDs; 232 in the initial automation scope.</x:v>
      </x:c>
      <x:c r="B21" s="71"/>
      <x:c r="C21" s="71"/>
      <x:c r="D21" s="71"/>
      <x:c r="E21" s="71"/>
      <x:c r="F21" s="71"/>
      <x:c r="G21" s="71"/>
      <x:c r="H21" s="71"/>
    </x:row>
    <x:row r="22" ht="25" customHeight="1">
      <x:c r="A22" s="71" t="str">
        <x:v>• Deferred: HLTH-002, HLTH-003, HLTH-004, HLTH-005, HLTH-010 (dependency failures).</x:v>
      </x:c>
      <x:c r="B22" s="71"/>
      <x:c r="C22" s="71"/>
      <x:c r="D22" s="71"/>
      <x:c r="E22" s="71"/>
      <x:c r="F22" s="71"/>
      <x:c r="G22" s="71"/>
      <x:c r="H22" s="71"/>
    </x:row>
    <x:row r="23" ht="25" customHeight="1">
      <x:c r="A23" s="71" t="str">
        <x:v>• No direct database verification or simulated infrastructure-failure tests in the streamlined scope.</x:v>
      </x:c>
      <x:c r="B23" s="71"/>
      <x:c r="C23" s="71"/>
      <x:c r="D23" s="71"/>
      <x:c r="E23" s="71"/>
      <x:c r="F23" s="71"/>
      <x:c r="G23" s="71"/>
      <x:c r="H23" s="71"/>
    </x:row>
    <x:row r="24" ht="25" customHeight="1">
      <x:c r="A24" s="71" t="str">
        <x:v>• Execution imported from backend_report.html; see the HTTP Evidence sheet for actual requests and responses.</x:v>
      </x:c>
      <x:c r="B24" s="71"/>
      <x:c r="C24" s="71"/>
      <x:c r="D24" s="71"/>
      <x:c r="E24" s="71"/>
      <x:c r="F24" s="71"/>
      <x:c r="G24" s="71"/>
      <x:c r="H24" s="71"/>
    </x:row>
    <x:row r="25" ht="25" customHeight="1">
      <x:c r="A25" s="71" t="str">
        <x:v>• AUTH-024 failure is due to null-input test helper behavior; validate and rerun after correction.</x:v>
      </x:c>
      <x:c r="B25" s="71"/>
      <x:c r="C25" s="71"/>
      <x:c r="D25" s="71"/>
      <x:c r="E25" s="71"/>
      <x:c r="F25" s="71"/>
      <x:c r="G25" s="71"/>
      <x:c r="H25" s="71"/>
    </x:row>
    <x:row r="26" ht="25" customHeight="1">
      <x:c r="A26" s="71" t="str">
        <x:v>• Results reflect this uploaded run only; each later run needs a fresh import.</x:v>
      </x:c>
      <x:c r="B26" s="71"/>
      <x:c r="C26" s="71"/>
      <x:c r="D26" s="71"/>
      <x:c r="E26" s="71"/>
      <x:c r="F26" s="71"/>
      <x:c r="G26" s="71"/>
      <x:c r="H26" s="71"/>
    </x:row>
  </x:sheetData>
  <x:mergeCells>
    <x:mergeCell ref="A1:H2"/>
    <x:mergeCell ref="A3:H3"/>
    <x:mergeCell ref="A5:B5"/>
    <x:mergeCell ref="C5:D5"/>
    <x:mergeCell ref="E5:F5"/>
    <x:mergeCell ref="G5:H5"/>
    <x:mergeCell ref="A6:B8"/>
    <x:mergeCell ref="C6:D8"/>
    <x:mergeCell ref="E6:F8"/>
    <x:mergeCell ref="G6:H8"/>
    <x:mergeCell ref="A10:H10"/>
    <x:mergeCell ref="A19:H19"/>
    <x:mergeCell ref="A21:H21"/>
    <x:mergeCell ref="A22:H22"/>
    <x:mergeCell ref="A23:H23"/>
    <x:mergeCell ref="A24:H24"/>
    <x:mergeCell ref="A25:H25"/>
    <x:mergeCell ref="A26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7" hidden="0" customWidth="1"/>
    <x:col min="3" max="3" width="11" hidden="0" customWidth="1"/>
    <x:col min="4" max="4" width="48" hidden="0" customWidth="1"/>
    <x:col min="5" max="5" width="57" hidden="0" customWidth="1"/>
    <x:col min="6" max="6" width="64" hidden="0" customWidth="1"/>
    <x:col min="7" max="7" width="14" hidden="0" customWidth="1"/>
    <x:col min="8" max="8" width="26" hidden="0" customWidth="1"/>
    <x:col min="9" max="9" width="16" hidden="0" customWidth="1"/>
    <x:col min="10" max="10" width="63" hidden="0" customWidth="1"/>
    <x:col min="11" max="11" width="62" hidden="0" customWidth="1"/>
    <x:col min="12" max="12" width="48" hidden="0" customWidth="1"/>
    <x:col min="13" max="13" width="22" hidden="0" customWidth="1"/>
  </x:cols>
  <x:sheetData>
    <x:row r="1" ht="34" customHeight="1">
      <x:c r="A1" s="4" t="str">
        <x:v>GROW8 | APPROVED BACKEND API TEST CASES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6" customHeight="1">
      <x:c r="A2" s="10" t="str">
        <x:v>237 approved scenarios • 15 APIs • real execution imported from backend_report.html (28 Oct 2026)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</x:row>
    <x:row r="3" ht="26" customHeight="1">
      <x:c r="A3" s="16" t="str">
        <x:v>Execution: 231 passed • 1 failed • 5 deferred/skipped. Actual HTTP evidence linked by row in HTTP Evidence sheet.</x:v>
      </x:c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</x:row>
    <x:row r="4" ht="30" customHeight="1">
      <x:c r="A4" s="23" t="str">
        <x:v>Test Case ID</x:v>
      </x:c>
      <x:c r="B4" s="23" t="str">
        <x:v>API Name</x:v>
      </x:c>
      <x:c r="C4" s="23" t="str">
        <x:v>Method</x:v>
      </x:c>
      <x:c r="D4" s="23" t="str">
        <x:v>Endpoint</x:v>
      </x:c>
      <x:c r="E4" s="23" t="str">
        <x:v>Approved Test Scenario</x:v>
      </x:c>
      <x:c r="F4" s="23" t="str">
        <x:v>Expected Result</x:v>
      </x:c>
      <x:c r="G4" s="23" t="str">
        <x:v>Approval</x:v>
      </x:c>
      <x:c r="H4" s="23" t="str">
        <x:v>Automation Scope</x:v>
      </x:c>
      <x:c r="I4" s="23" t="str">
        <x:v>Execution Status</x:v>
      </x:c>
      <x:c r="J4" s="23" t="str">
        <x:v>Actual Result</x:v>
      </x:c>
      <x:c r="K4" s="23" t="str">
        <x:v>Tester Notes</x:v>
      </x:c>
      <x:c r="L4" s="23" t="str">
        <x:v>Evidence / HTML Link</x:v>
      </x:c>
      <x:c r="M4" s="23" t="str">
        <x:v>Executed On</x:v>
      </x:c>
    </x:row>
    <x:row r="5" ht="31" customHeight="1">
      <x:c r="A5" s="29" t="str">
        <x:v>HLTH-001</x:v>
      </x:c>
      <x:c r="B5" s="29" t="str">
        <x:v>Health</x:v>
      </x:c>
      <x:c r="C5" s="29" t="str">
        <x:v>GET</x:v>
      </x:c>
      <x:c r="D5" s="32" t="str">
        <x:v>/health</x:v>
      </x:c>
      <x:c r="E5" s="32" t="str">
        <x:v>MySQL and RabbitMQ available</x:v>
      </x:c>
      <x:c r="F5" s="32" t="str">
        <x:v>200; status=ok; both checks=ok</x:v>
      </x:c>
      <x:c r="G5" s="38" t="str">
        <x:v>Approved</x:v>
      </x:c>
      <x:c r="H5" s="29" t="str">
        <x:v>In scope</x:v>
      </x:c>
      <x:c r="I5" s="91" t="str">
        <x:v>Passed</x:v>
      </x:c>
      <x:c r="J5" s="92" t="str">
        <x:v>HTTP 200 (GET /health) • {"status":"ok","checks":{"mysql":"ok","rabbitmq":"ok"}}</x:v>
      </x:c>
      <x:c r="K5" s="92" t="str">
        <x:v>Passed assertions; 1 recorded HTTP exchange(s); duration 00:00:02. Response details in HTTP Evidence worksheet.</x:v>
      </x:c>
      <x:c r="L5" s="92" t="str">
        <x:v>HTTP Evidence rows 2–2; source: backend_report.html</x:v>
      </x:c>
      <x:c r="M5" s="93" t="n">
        <x:v>46323.253113425926</x:v>
      </x:c>
    </x:row>
    <x:row r="6" ht="31" customHeight="1">
      <x:c r="A6" s="29" t="str">
        <x:v>HLTH-002</x:v>
      </x:c>
      <x:c r="B6" s="29" t="str">
        <x:v>Health</x:v>
      </x:c>
      <x:c r="C6" s="29" t="str">
        <x:v>GET</x:v>
      </x:c>
      <x:c r="D6" s="32" t="str">
        <x:v>/health</x:v>
      </x:c>
      <x:c r="E6" s="32" t="str">
        <x:v>MySQL unavailable, RabbitMQ available</x:v>
      </x:c>
      <x:c r="F6" s="32" t="str">
        <x:v>503; degraded; mysql=unavailable; rabbitmq=ok</x:v>
      </x:c>
      <x:c r="G6" s="38" t="str">
        <x:v>Approved</x:v>
      </x:c>
      <x:c r="H6" s="29" t="str">
        <x:v>Deferred — infrastructure</x:v>
      </x:c>
      <x:c r="I6" s="91" t="str">
        <x:v>Skipped</x:v>
      </x:c>
      <x:c r="J6" s="92" t="str">
        <x:v>Not executed — test skipped during setup.</x:v>
      </x:c>
      <x:c r="K6" s="92" t="str">
        <x:v>Deferred: infrastructure/dependency failure scenarios are outside current streamlined API scope.</x:v>
      </x:c>
      <x:c r="L6" s="92" t="str">
        <x:v>backend_report.html — skipped; no HTTP request</x:v>
      </x:c>
      <x:c r="M6" s="93" t="n">
        <x:v>46323.253113425926</x:v>
      </x:c>
    </x:row>
    <x:row r="7" ht="31" customHeight="1">
      <x:c r="A7" s="29" t="str">
        <x:v>HLTH-003</x:v>
      </x:c>
      <x:c r="B7" s="29" t="str">
        <x:v>Health</x:v>
      </x:c>
      <x:c r="C7" s="29" t="str">
        <x:v>GET</x:v>
      </x:c>
      <x:c r="D7" s="32" t="str">
        <x:v>/health</x:v>
      </x:c>
      <x:c r="E7" s="32" t="str">
        <x:v>RabbitMQ unavailable, MySQL available</x:v>
      </x:c>
      <x:c r="F7" s="32" t="str">
        <x:v>503; degraded; rabbitmq=unavailable; mysql=ok</x:v>
      </x:c>
      <x:c r="G7" s="38" t="str">
        <x:v>Approved</x:v>
      </x:c>
      <x:c r="H7" s="29" t="str">
        <x:v>Deferred — infrastructure</x:v>
      </x:c>
      <x:c r="I7" s="91" t="str">
        <x:v>Skipped</x:v>
      </x:c>
      <x:c r="J7" s="92" t="str">
        <x:v>Not executed — test skipped during setup.</x:v>
      </x:c>
      <x:c r="K7" s="92" t="str">
        <x:v>Deferred: infrastructure/dependency failure scenarios are outside current streamlined API scope.</x:v>
      </x:c>
      <x:c r="L7" s="92" t="str">
        <x:v>backend_report.html — skipped; no HTTP request</x:v>
      </x:c>
      <x:c r="M7" s="93" t="n">
        <x:v>46323.253113425926</x:v>
      </x:c>
    </x:row>
    <x:row r="8" ht="31" customHeight="1">
      <x:c r="A8" s="29" t="str">
        <x:v>HLTH-004</x:v>
      </x:c>
      <x:c r="B8" s="29" t="str">
        <x:v>Health</x:v>
      </x:c>
      <x:c r="C8" s="29" t="str">
        <x:v>GET</x:v>
      </x:c>
      <x:c r="D8" s="32" t="str">
        <x:v>/health</x:v>
      </x:c>
      <x:c r="E8" s="32" t="str">
        <x:v>Both dependencies unavailable</x:v>
      </x:c>
      <x:c r="F8" s="32" t="str">
        <x:v>503; degraded; both checks unavailable</x:v>
      </x:c>
      <x:c r="G8" s="38" t="str">
        <x:v>Approved</x:v>
      </x:c>
      <x:c r="H8" s="29" t="str">
        <x:v>Deferred — infrastructure</x:v>
      </x:c>
      <x:c r="I8" s="91" t="str">
        <x:v>Skipped</x:v>
      </x:c>
      <x:c r="J8" s="92" t="str">
        <x:v>Not executed — test skipped during setup.</x:v>
      </x:c>
      <x:c r="K8" s="92" t="str">
        <x:v>Deferred: infrastructure/dependency failure scenarios are outside current streamlined API scope.</x:v>
      </x:c>
      <x:c r="L8" s="92" t="str">
        <x:v>backend_report.html — skipped; no HTTP request</x:v>
      </x:c>
      <x:c r="M8" s="93" t="n">
        <x:v>46323.253113425926</x:v>
      </x:c>
    </x:row>
    <x:row r="9" ht="31" customHeight="1">
      <x:c r="A9" s="29" t="str">
        <x:v>HLTH-005</x:v>
      </x:c>
      <x:c r="B9" s="29" t="str">
        <x:v>Health</x:v>
      </x:c>
      <x:c r="C9" s="29" t="str">
        <x:v>GET</x:v>
      </x:c>
      <x:c r="D9" s="32" t="str">
        <x:v>/health</x:v>
      </x:c>
      <x:c r="E9" s="32" t="str">
        <x:v>Dependency probe raises an unexpected exception</x:v>
      </x:c>
      <x:c r="F9" s="32" t="str">
        <x:v>Controlled degraded 503 response; not unhandled 500</x:v>
      </x:c>
      <x:c r="G9" s="38" t="str">
        <x:v>Approved</x:v>
      </x:c>
      <x:c r="H9" s="29" t="str">
        <x:v>Deferred — infrastructure</x:v>
      </x:c>
      <x:c r="I9" s="91" t="str">
        <x:v>Skipped</x:v>
      </x:c>
      <x:c r="J9" s="92" t="str">
        <x:v>Not executed — test skipped during setup.</x:v>
      </x:c>
      <x:c r="K9" s="92" t="str">
        <x:v>Deferred: infrastructure/dependency failure scenarios are outside current streamlined API scope.</x:v>
      </x:c>
      <x:c r="L9" s="92" t="str">
        <x:v>backend_report.html — skipped; no HTTP request</x:v>
      </x:c>
      <x:c r="M9" s="93" t="n">
        <x:v>46323.253113425926</x:v>
      </x:c>
    </x:row>
    <x:row r="10" ht="31" customHeight="1">
      <x:c r="A10" s="29" t="str">
        <x:v>HLTH-006</x:v>
      </x:c>
      <x:c r="B10" s="29" t="str">
        <x:v>Health</x:v>
      </x:c>
      <x:c r="C10" s="29" t="str">
        <x:v>GET</x:v>
      </x:c>
      <x:c r="D10" s="32" t="str">
        <x:v>/health</x:v>
      </x:c>
      <x:c r="E10" s="32" t="str">
        <x:v>Unauthenticated health request</x:v>
      </x:c>
      <x:c r="F10" s="32" t="str">
        <x:v>200 or 503 reflecting health; never 401</x:v>
      </x:c>
      <x:c r="G10" s="38" t="str">
        <x:v>Approved</x:v>
      </x:c>
      <x:c r="H10" s="29" t="str">
        <x:v>In scope</x:v>
      </x:c>
      <x:c r="I10" s="91" t="str">
        <x:v>Passed</x:v>
      </x:c>
      <x:c r="J10" s="92" t="str">
        <x:v>HTTP 200 (GET /health) • {"status":"ok","checks":{"mysql":"ok","rabbitmq":"ok"}}</x:v>
      </x:c>
      <x:c r="K10" s="92" t="str">
        <x:v>Passed assertions; 1 recorded HTTP exchange(s); duration 160 ms. Response details in HTTP Evidence worksheet.</x:v>
      </x:c>
      <x:c r="L10" s="92" t="str">
        <x:v>HTTP Evidence rows 3–3; source: backend_report.html</x:v>
      </x:c>
      <x:c r="M10" s="93" t="n">
        <x:v>46323.253113425926</x:v>
      </x:c>
    </x:row>
    <x:row r="11" ht="31" customHeight="1">
      <x:c r="A11" s="29" t="str">
        <x:v>HLTH-007</x:v>
      </x:c>
      <x:c r="B11" s="29" t="str">
        <x:v>Health</x:v>
      </x:c>
      <x:c r="C11" s="29" t="str">
        <x:v>GET</x:v>
      </x:c>
      <x:c r="D11" s="32" t="str">
        <x:v>/health</x:v>
      </x:c>
      <x:c r="E11" s="32" t="str">
        <x:v>Validate health JSON response</x:v>
      </x:c>
      <x:c r="F11" s="32" t="str">
        <x:v>status and checks.mysql/checks.rabbitmq present with expected values</x:v>
      </x:c>
      <x:c r="G11" s="38" t="str">
        <x:v>Approved</x:v>
      </x:c>
      <x:c r="H11" s="29" t="str">
        <x:v>In scope</x:v>
      </x:c>
      <x:c r="I11" s="91" t="str">
        <x:v>Passed</x:v>
      </x:c>
      <x:c r="J11" s="92" t="str">
        <x:v>HTTP 200 (GET /health) • {"status":"ok","checks":{"mysql":"ok","rabbitmq":"ok"}}</x:v>
      </x:c>
      <x:c r="K11" s="92" t="str">
        <x:v>Passed assertions; 1 recorded HTTP exchange(s); duration 162 ms. Response details in HTTP Evidence worksheet.</x:v>
      </x:c>
      <x:c r="L11" s="92" t="str">
        <x:v>HTTP Evidence rows 4–4; source: backend_report.html</x:v>
      </x:c>
      <x:c r="M11" s="93" t="n">
        <x:v>46323.253113425926</x:v>
      </x:c>
    </x:row>
    <x:row r="12" ht="31" customHeight="1">
      <x:c r="A12" s="29" t="str">
        <x:v>HLTH-008</x:v>
      </x:c>
      <x:c r="B12" s="29" t="str">
        <x:v>Health</x:v>
      </x:c>
      <x:c r="C12" s="29" t="str">
        <x:v>GET</x:v>
      </x:c>
      <x:c r="D12" s="32" t="str">
        <x:v>/health</x:v>
      </x:c>
      <x:c r="E12" s="32" t="str">
        <x:v>Valid X-Request-ID header</x:v>
      </x:c>
      <x:c r="F12" s="32" t="str">
        <x:v>Response preserves supplied valid request ID</x:v>
      </x:c>
      <x:c r="G12" s="38" t="str">
        <x:v>Approved</x:v>
      </x:c>
      <x:c r="H12" s="29" t="str">
        <x:v>In scope</x:v>
      </x:c>
      <x:c r="I12" s="91" t="str">
        <x:v>Passed</x:v>
      </x:c>
      <x:c r="J12" s="92" t="str">
        <x:v>HTTP 200 (GET /health) • {"status":"ok","checks":{"mysql":"ok","rabbitmq":"ok"}}</x:v>
      </x:c>
      <x:c r="K12" s="92" t="str">
        <x:v>Passed assertions; 1 recorded HTTP exchange(s); duration 206 ms. Response details in HTTP Evidence worksheet.</x:v>
      </x:c>
      <x:c r="L12" s="92" t="str">
        <x:v>HTTP Evidence rows 5–5; source: backend_report.html</x:v>
      </x:c>
      <x:c r="M12" s="93" t="n">
        <x:v>46323.253113425926</x:v>
      </x:c>
    </x:row>
    <x:row r="13" ht="31" customHeight="1">
      <x:c r="A13" s="29" t="str">
        <x:v>HLTH-009</x:v>
      </x:c>
      <x:c r="B13" s="29" t="str">
        <x:v>Health</x:v>
      </x:c>
      <x:c r="C13" s="29" t="str">
        <x:v>GET</x:v>
      </x:c>
      <x:c r="D13" s="32" t="str">
        <x:v>/health</x:v>
      </x:c>
      <x:c r="E13" s="32" t="str">
        <x:v>Invalid X-Request-ID header</x:v>
      </x:c>
      <x:c r="F13" s="32" t="str">
        <x:v>Server generates replacement request ID</x:v>
      </x:c>
      <x:c r="G13" s="38" t="str">
        <x:v>Approved</x:v>
      </x:c>
      <x:c r="H13" s="29" t="str">
        <x:v>In scope</x:v>
      </x:c>
      <x:c r="I13" s="91" t="str">
        <x:v>Passed</x:v>
      </x:c>
      <x:c r="J13" s="92" t="str">
        <x:v>HTTP 200 (GET /health) • {"status":"ok","checks":{"mysql":"ok","rabbitmq":"ok"}}</x:v>
      </x:c>
      <x:c r="K13" s="92" t="str">
        <x:v>Passed assertions; 1 recorded HTTP exchange(s); duration 197 ms. Response details in HTTP Evidence worksheet.</x:v>
      </x:c>
      <x:c r="L13" s="92" t="str">
        <x:v>HTTP Evidence rows 6–6; source: backend_report.html</x:v>
      </x:c>
      <x:c r="M13" s="93" t="n">
        <x:v>46323.253113425926</x:v>
      </x:c>
    </x:row>
    <x:row r="14" ht="31" customHeight="1">
      <x:c r="A14" s="29" t="str">
        <x:v>HLTH-010</x:v>
      </x:c>
      <x:c r="B14" s="29" t="str">
        <x:v>Health</x:v>
      </x:c>
      <x:c r="C14" s="29" t="str">
        <x:v>GET</x:v>
      </x:c>
      <x:c r="D14" s="32" t="str">
        <x:v>/health</x:v>
      </x:c>
      <x:c r="E14" s="32" t="str">
        <x:v>MySQL probe fails</x:v>
      </x:c>
      <x:c r="F14" s="32" t="str">
        <x:v>RabbitMQ probe is still executed and both results reported</x:v>
      </x:c>
      <x:c r="G14" s="38" t="str">
        <x:v>Approved</x:v>
      </x:c>
      <x:c r="H14" s="29" t="str">
        <x:v>Deferred — infrastructure</x:v>
      </x:c>
      <x:c r="I14" s="91" t="str">
        <x:v>Skipped</x:v>
      </x:c>
      <x:c r="J14" s="92" t="str">
        <x:v>Not executed — test skipped during setup.</x:v>
      </x:c>
      <x:c r="K14" s="92" t="str">
        <x:v>Deferred: infrastructure/dependency failure scenarios are outside current streamlined API scope.</x:v>
      </x:c>
      <x:c r="L14" s="92" t="str">
        <x:v>backend_report.html — skipped; no HTTP request</x:v>
      </x:c>
      <x:c r="M14" s="93" t="n">
        <x:v>46323.253113425926</x:v>
      </x:c>
    </x:row>
    <x:row r="15" ht="31" customHeight="1">
      <x:c r="A15" s="29" t="str">
        <x:v>AUTH-001</x:v>
      </x:c>
      <x:c r="B15" s="29" t="str">
        <x:v>Login</x:v>
      </x:c>
      <x:c r="C15" s="29" t="str">
        <x:v>POST</x:v>
      </x:c>
      <x:c r="D15" s="32" t="str">
        <x:v>/api/v1/auth/login</x:v>
      </x:c>
      <x:c r="E15" s="32" t="str">
        <x:v>Valid Creator credentials</x:v>
      </x:c>
      <x:c r="F15" s="32" t="str">
        <x:v>200; valid JWT; creator role</x:v>
      </x:c>
      <x:c r="G15" s="38" t="str">
        <x:v>Approved</x:v>
      </x:c>
      <x:c r="H15" s="29" t="str">
        <x:v>In scope</x:v>
      </x:c>
      <x:c r="I15" s="91" t="str">
        <x:v>Passed</x:v>
      </x:c>
      <x:c r="J15" s="92" t="str">
        <x:v>HTTP 200 (POST /api/v1/auth/login) • {"user":{"user_id":2,"email":"maple.bakery@grow8.dev","role":"creator"},"access_token":"&lt;redacted&gt;"}</x:v>
      </x:c>
      <x:c r="K15" s="92" t="str">
        <x:v>Passed assertions; 1 recorded HTTP exchange(s); duration 581 ms. Response details in HTTP Evidence worksheet.</x:v>
      </x:c>
      <x:c r="L15" s="92" t="str">
        <x:v>HTTP Evidence rows 7–7; source: backend_report.html</x:v>
      </x:c>
      <x:c r="M15" s="93" t="n">
        <x:v>46323.253113425926</x:v>
      </x:c>
    </x:row>
    <x:row r="16" ht="31" customHeight="1">
      <x:c r="A16" s="29" t="str">
        <x:v>AUTH-002</x:v>
      </x:c>
      <x:c r="B16" s="29" t="str">
        <x:v>Login</x:v>
      </x:c>
      <x:c r="C16" s="29" t="str">
        <x:v>POST</x:v>
      </x:c>
      <x:c r="D16" s="32" t="str">
        <x:v>/api/v1/auth/login</x:v>
      </x:c>
      <x:c r="E16" s="32" t="str">
        <x:v>Valid Contributor credentials</x:v>
      </x:c>
      <x:c r="F16" s="32" t="str">
        <x:v>200; valid JWT; contributor role</x:v>
      </x:c>
      <x:c r="G16" s="38" t="str">
        <x:v>Approved</x:v>
      </x:c>
      <x:c r="H16" s="29" t="str">
        <x:v>In scope</x:v>
      </x:c>
      <x:c r="I16" s="91" t="str">
        <x:v>Passed</x:v>
      </x:c>
      <x:c r="J16" s="92" t="str">
        <x:v>HTTP 200 (POST /api/v1/auth/login) • {"user":{"user_id":5,"email":"alex.chen@grow8.dev","role":"contributor"},"access_token":"&lt;redacted&gt;"}</x:v>
      </x:c>
      <x:c r="K16" s="92" t="str">
        <x:v>Passed assertions; 1 recorded HTTP exchange(s); duration 626 ms. Response details in HTTP Evidence worksheet.</x:v>
      </x:c>
      <x:c r="L16" s="92" t="str">
        <x:v>HTTP Evidence rows 8–8; source: backend_report.html</x:v>
      </x:c>
      <x:c r="M16" s="93" t="n">
        <x:v>46323.253113425926</x:v>
      </x:c>
    </x:row>
    <x:row r="17" ht="31" customHeight="1">
      <x:c r="A17" s="29" t="str">
        <x:v>AUTH-003</x:v>
      </x:c>
      <x:c r="B17" s="29" t="str">
        <x:v>Login</x:v>
      </x:c>
      <x:c r="C17" s="29" t="str">
        <x:v>POST</x:v>
      </x:c>
      <x:c r="D17" s="32" t="str">
        <x:v>/api/v1/auth/login</x:v>
      </x:c>
      <x:c r="E17" s="32" t="str">
        <x:v>Valid Admin credentials</x:v>
      </x:c>
      <x:c r="F17" s="32" t="str">
        <x:v>200; valid JWT; admin role</x:v>
      </x:c>
      <x:c r="G17" s="38" t="str">
        <x:v>Approved</x:v>
      </x:c>
      <x:c r="H17" s="29" t="str">
        <x:v>In scope</x:v>
      </x:c>
      <x:c r="I17" s="91" t="str">
        <x:v>Passed</x:v>
      </x:c>
      <x:c r="J17" s="92" t="str">
        <x:v>HTTP 200 (POST /api/v1/auth/login) • {"user":{"user_id":1,"email":"admin@grow8.dev","role":"admin"},"access_token":"&lt;redacted&gt;"}</x:v>
      </x:c>
      <x:c r="K17" s="92" t="str">
        <x:v>Passed assertions; 1 recorded HTTP exchange(s); duration 600 ms. Response details in HTTP Evidence worksheet.</x:v>
      </x:c>
      <x:c r="L17" s="92" t="str">
        <x:v>HTTP Evidence rows 9–9; source: backend_report.html</x:v>
      </x:c>
      <x:c r="M17" s="93" t="n">
        <x:v>46323.253113425926</x:v>
      </x:c>
    </x:row>
    <x:row r="18" ht="31" customHeight="1">
      <x:c r="A18" s="29" t="str">
        <x:v>AUTH-004</x:v>
      </x:c>
      <x:c r="B18" s="29" t="str">
        <x:v>Login</x:v>
      </x:c>
      <x:c r="C18" s="29" t="str">
        <x:v>POST</x:v>
      </x:c>
      <x:c r="D18" s="32" t="str">
        <x:v>/api/v1/auth/login</x:v>
      </x:c>
      <x:c r="E18" s="32" t="str">
        <x:v>Email with uppercase letters</x:v>
      </x:c>
      <x:c r="F18" s="32" t="str">
        <x:v>200; email normalized; correct user</x:v>
      </x:c>
      <x:c r="G18" s="38" t="str">
        <x:v>Approved</x:v>
      </x:c>
      <x:c r="H18" s="29" t="str">
        <x:v>In scope</x:v>
      </x:c>
      <x:c r="I18" s="91" t="str">
        <x:v>Passed</x:v>
      </x:c>
      <x:c r="J18" s="92" t="str">
        <x:v>HTTP 200 (POST /api/v1/auth/login) • {"user":{"user_id":2,"email":"maple.bakery@grow8.dev","role":"creator"},"access_token":"&lt;redacted&gt;"}</x:v>
      </x:c>
      <x:c r="K18" s="92" t="str">
        <x:v>Passed assertions; 1 recorded HTTP exchange(s); duration 660 ms. Response details in HTTP Evidence worksheet.</x:v>
      </x:c>
      <x:c r="L18" s="92" t="str">
        <x:v>HTTP Evidence rows 10–10; source: backend_report.html</x:v>
      </x:c>
      <x:c r="M18" s="93" t="n">
        <x:v>46323.253113425926</x:v>
      </x:c>
    </x:row>
    <x:row r="19" ht="31" customHeight="1">
      <x:c r="A19" s="29" t="str">
        <x:v>AUTH-005</x:v>
      </x:c>
      <x:c r="B19" s="29" t="str">
        <x:v>Login</x:v>
      </x:c>
      <x:c r="C19" s="29" t="str">
        <x:v>POST</x:v>
      </x:c>
      <x:c r="D19" s="32" t="str">
        <x:v>/api/v1/auth/login</x:v>
      </x:c>
      <x:c r="E19" s="32" t="str">
        <x:v>Leading/trailing whitespace in email</x:v>
      </x:c>
      <x:c r="F19" s="32" t="str">
        <x:v>200; trimmed email recognized</x:v>
      </x:c>
      <x:c r="G19" s="38" t="str">
        <x:v>Approved</x:v>
      </x:c>
      <x:c r="H19" s="29" t="str">
        <x:v>In scope</x:v>
      </x:c>
      <x:c r="I19" s="91" t="str">
        <x:v>Passed</x:v>
      </x:c>
      <x:c r="J19" s="92" t="str">
        <x:v>HTTP 200 (POST /api/v1/auth/login) • {"user":{"user_id":2,"email":"maple.bakery@grow8.dev","role":"creator"},"access_token":"&lt;redacted&gt;"}</x:v>
      </x:c>
      <x:c r="K19" s="92" t="str">
        <x:v>Passed assertions; 1 recorded HTTP exchange(s); duration 565 ms. Response details in HTTP Evidence worksheet.</x:v>
      </x:c>
      <x:c r="L19" s="92" t="str">
        <x:v>HTTP Evidence rows 11–11; source: backend_report.html</x:v>
      </x:c>
      <x:c r="M19" s="93" t="n">
        <x:v>46323.253113425926</x:v>
      </x:c>
    </x:row>
    <x:row r="20" ht="31" customHeight="1">
      <x:c r="A20" s="29" t="str">
        <x:v>AUTH-006</x:v>
      </x:c>
      <x:c r="B20" s="29" t="str">
        <x:v>Login</x:v>
      </x:c>
      <x:c r="C20" s="29" t="str">
        <x:v>POST</x:v>
      </x:c>
      <x:c r="D20" s="32" t="str">
        <x:v>/api/v1/auth/login</x:v>
      </x:c>
      <x:c r="E20" s="32" t="str">
        <x:v>Validate successful response fields and types</x:v>
      </x:c>
      <x:c r="F20" s="32" t="str">
        <x:v>200; required token and user fields correct</x:v>
      </x:c>
      <x:c r="G20" s="38" t="str">
        <x:v>Approved</x:v>
      </x:c>
      <x:c r="H20" s="29" t="str">
        <x:v>In scope</x:v>
      </x:c>
      <x:c r="I20" s="91" t="str">
        <x:v>Passed</x:v>
      </x:c>
      <x:c r="J20" s="92" t="str">
        <x:v>HTTP 200 (POST /api/v1/auth/login) • {"user":{"user_id":2,"email":"maple.bakery@grow8.dev","role":"creator"},"access_token":"&lt;redacted&gt;"}</x:v>
      </x:c>
      <x:c r="K20" s="92" t="str">
        <x:v>Passed assertions; 1 recorded HTTP exchange(s); duration 619 ms. Response details in HTTP Evidence worksheet.</x:v>
      </x:c>
      <x:c r="L20" s="92" t="str">
        <x:v>HTTP Evidence rows 12–12; source: backend_report.html</x:v>
      </x:c>
      <x:c r="M20" s="93" t="n">
        <x:v>46323.253113425926</x:v>
      </x:c>
    </x:row>
    <x:row r="21" ht="31" customHeight="1">
      <x:c r="A21" s="29" t="str">
        <x:v>AUTH-007</x:v>
      </x:c>
      <x:c r="B21" s="29" t="str">
        <x:v>Login</x:v>
      </x:c>
      <x:c r="C21" s="29" t="str">
        <x:v>POST</x:v>
      </x:c>
      <x:c r="D21" s="32" t="str">
        <x:v>/api/v1/auth/login</x:v>
      </x:c>
      <x:c r="E21" s="32" t="str">
        <x:v>Login twice with identical valid credentials</x:v>
      </x:c>
      <x:c r="F21" s="32" t="str">
        <x:v>Both 200; each issued JWT verifies</x:v>
      </x:c>
      <x:c r="G21" s="38" t="str">
        <x:v>Approved</x:v>
      </x:c>
      <x:c r="H21" s="29" t="str">
        <x:v>In scope</x:v>
      </x:c>
      <x:c r="I21" s="91" t="str">
        <x:v>Passed</x:v>
      </x:c>
      <x:c r="J21" s="92" t="str">
        <x:v>HTTP 200 / 200 (POST /api/v1/auth/login) • {"user":{"user_id":2,"email":"maple.bakery@grow8.dev","role":"creator"},"access_token":"&lt;redacted&gt;"}</x:v>
      </x:c>
      <x:c r="K21" s="92" t="str">
        <x:v>Passed assertions; 2 recorded HTTP exchange(s); duration 00:00:01. Response details in HTTP Evidence worksheet.</x:v>
      </x:c>
      <x:c r="L21" s="92" t="str">
        <x:v>HTTP Evidence rows 13–14; source: backend_report.html</x:v>
      </x:c>
      <x:c r="M21" s="93" t="n">
        <x:v>46323.253113425926</x:v>
      </x:c>
    </x:row>
    <x:row r="22" ht="31" customHeight="1">
      <x:c r="A22" s="29" t="str">
        <x:v>AUTH-008</x:v>
      </x:c>
      <x:c r="B22" s="29" t="str">
        <x:v>Login</x:v>
      </x:c>
      <x:c r="C22" s="29" t="str">
        <x:v>POST</x:v>
      </x:c>
      <x:c r="D22" s="32" t="str">
        <x:v>/api/v1/auth/login</x:v>
      </x:c>
      <x:c r="E22" s="32" t="str">
        <x:v>Correct email, incorrect password</x:v>
      </x:c>
      <x:c r="F22" s="32" t="str">
        <x:v>401 INVALID_CREDENTIALS</x:v>
      </x:c>
      <x:c r="G22" s="38" t="str">
        <x:v>Approved</x:v>
      </x:c>
      <x:c r="H22" s="29" t="str">
        <x:v>In scope</x:v>
      </x:c>
      <x:c r="I22" s="91" t="str">
        <x:v>Passed</x:v>
      </x:c>
      <x:c r="J22" s="92" t="str">
        <x:v>HTTP 401 (POST /api/v1/auth/login) • {"error":{"code":"INVALID_CREDENTIALS","message":"Incorrect email or password"}}</x:v>
      </x:c>
      <x:c r="K22" s="92" t="str">
        <x:v>Passed assertions; 1 recorded HTTP exchange(s); duration 756 ms. Response details in HTTP Evidence worksheet.</x:v>
      </x:c>
      <x:c r="L22" s="92" t="str">
        <x:v>HTTP Evidence rows 15–15; source: backend_report.html</x:v>
      </x:c>
      <x:c r="M22" s="93" t="n">
        <x:v>46323.253113425926</x:v>
      </x:c>
    </x:row>
    <x:row r="23" ht="31" customHeight="1">
      <x:c r="A23" s="29" t="str">
        <x:v>AUTH-009</x:v>
      </x:c>
      <x:c r="B23" s="29" t="str">
        <x:v>Login</x:v>
      </x:c>
      <x:c r="C23" s="29" t="str">
        <x:v>POST</x:v>
      </x:c>
      <x:c r="D23" s="32" t="str">
        <x:v>/api/v1/auth/login</x:v>
      </x:c>
      <x:c r="E23" s="32" t="str">
        <x:v>Email not registered</x:v>
      </x:c>
      <x:c r="F23" s="32" t="str">
        <x:v>401 INVALID_CREDENTIALS</x:v>
      </x:c>
      <x:c r="G23" s="38" t="str">
        <x:v>Approved</x:v>
      </x:c>
      <x:c r="H23" s="29" t="str">
        <x:v>In scope</x:v>
      </x:c>
      <x:c r="I23" s="91" t="str">
        <x:v>Passed</x:v>
      </x:c>
      <x:c r="J23" s="92" t="str">
        <x:v>HTTP 401 (POST /api/v1/auth/login) • {"error":{"code":"INVALID_CREDENTIALS","message":"Incorrect email or password"}}</x:v>
      </x:c>
      <x:c r="K23" s="92" t="str">
        <x:v>Passed assertions; 1 recorded HTTP exchange(s); duration 629 ms. Response details in HTTP Evidence worksheet.</x:v>
      </x:c>
      <x:c r="L23" s="92" t="str">
        <x:v>HTTP Evidence rows 16–16; source: backend_report.html</x:v>
      </x:c>
      <x:c r="M23" s="93" t="n">
        <x:v>46323.253113425926</x:v>
      </x:c>
    </x:row>
    <x:row r="24" ht="31" customHeight="1">
      <x:c r="A24" s="29" t="str">
        <x:v>AUTH-010</x:v>
      </x:c>
      <x:c r="B24" s="29" t="str">
        <x:v>Login</x:v>
      </x:c>
      <x:c r="C24" s="29" t="str">
        <x:v>POST</x:v>
      </x:c>
      <x:c r="D24" s="32" t="str">
        <x:v>/api/v1/auth/login</x:v>
      </x:c>
      <x:c r="E24" s="32" t="str">
        <x:v>Existing inactive account</x:v>
      </x:c>
      <x:c r="F24" s="32" t="str">
        <x:v>401 INVALID_CREDENTIALS</x:v>
      </x:c>
      <x:c r="G24" s="38" t="str">
        <x:v>Approved</x:v>
      </x:c>
      <x:c r="H24" s="29" t="str">
        <x:v>In scope</x:v>
      </x:c>
      <x:c r="I24" s="91" t="str">
        <x:v>Passed</x:v>
      </x:c>
      <x:c r="J24" s="92" t="str">
        <x:v>HTTP 401 (POST /api/v1/auth/login) • {"error":{"code":"INVALID_CREDENTIALS","message":"Incorrect email or password"}}</x:v>
      </x:c>
      <x:c r="K24" s="92" t="str">
        <x:v>Passed assertions; 1 recorded HTTP exchange(s); duration 550 ms. Response details in HTTP Evidence worksheet.</x:v>
      </x:c>
      <x:c r="L24" s="92" t="str">
        <x:v>HTTP Evidence rows 17–17; source: backend_report.html</x:v>
      </x:c>
      <x:c r="M24" s="93" t="n">
        <x:v>46323.253113425926</x:v>
      </x:c>
    </x:row>
    <x:row r="25" ht="31" customHeight="1">
      <x:c r="A25" s="29" t="str">
        <x:v>AUTH-011</x:v>
      </x:c>
      <x:c r="B25" s="29" t="str">
        <x:v>Login</x:v>
      </x:c>
      <x:c r="C25" s="29" t="str">
        <x:v>POST</x:v>
      </x:c>
      <x:c r="D25" s="32" t="str">
        <x:v>/api/v1/auth/login</x:v>
      </x:c>
      <x:c r="E25" s="32" t="str">
        <x:v>Wrong password capitalization</x:v>
      </x:c>
      <x:c r="F25" s="32" t="str">
        <x:v>401 INVALID_CREDENTIALS</x:v>
      </x:c>
      <x:c r="G25" s="38" t="str">
        <x:v>Approved</x:v>
      </x:c>
      <x:c r="H25" s="29" t="str">
        <x:v>In scope</x:v>
      </x:c>
      <x:c r="I25" s="91" t="str">
        <x:v>Passed</x:v>
      </x:c>
      <x:c r="J25" s="92" t="str">
        <x:v>HTTP 401 (POST /api/v1/auth/login) • {"error":{"code":"INVALID_CREDENTIALS","message":"Incorrect email or password"}}</x:v>
      </x:c>
      <x:c r="K25" s="92" t="str">
        <x:v>Passed assertions; 1 recorded HTTP exchange(s); duration 696 ms. Response details in HTTP Evidence worksheet.</x:v>
      </x:c>
      <x:c r="L25" s="92" t="str">
        <x:v>HTTP Evidence rows 18–18; source: backend_report.html</x:v>
      </x:c>
      <x:c r="M25" s="93" t="n">
        <x:v>46323.253113425926</x:v>
      </x:c>
    </x:row>
    <x:row r="26" ht="31" customHeight="1">
      <x:c r="A26" s="29" t="str">
        <x:v>AUTH-012</x:v>
      </x:c>
      <x:c r="B26" s="29" t="str">
        <x:v>Login</x:v>
      </x:c>
      <x:c r="C26" s="29" t="str">
        <x:v>POST</x:v>
      </x:c>
      <x:c r="D26" s="32" t="str">
        <x:v>/api/v1/auth/login</x:v>
      </x:c>
      <x:c r="E26" s="32" t="str">
        <x:v>Correct password with extra whitespace</x:v>
      </x:c>
      <x:c r="F26" s="32" t="str">
        <x:v>401 INVALID_CREDENTIALS</x:v>
      </x:c>
      <x:c r="G26" s="38" t="str">
        <x:v>Approved</x:v>
      </x:c>
      <x:c r="H26" s="29" t="str">
        <x:v>In scope</x:v>
      </x:c>
      <x:c r="I26" s="91" t="str">
        <x:v>Passed</x:v>
      </x:c>
      <x:c r="J26" s="92" t="str">
        <x:v>HTTP 401 (POST /api/v1/auth/login) • {"error":{"code":"INVALID_CREDENTIALS","message":"Incorrect email or password"}}</x:v>
      </x:c>
      <x:c r="K26" s="92" t="str">
        <x:v>Passed assertions; 1 recorded HTTP exchange(s); duration 596 ms. Response details in HTTP Evidence worksheet.</x:v>
      </x:c>
      <x:c r="L26" s="92" t="str">
        <x:v>HTTP Evidence rows 19–19; source: backend_report.html</x:v>
      </x:c>
      <x:c r="M26" s="93" t="n">
        <x:v>46323.253113425926</x:v>
      </x:c>
    </x:row>
    <x:row r="27" ht="31" customHeight="1">
      <x:c r="A27" s="29" t="str">
        <x:v>AUTH-013</x:v>
      </x:c>
      <x:c r="B27" s="29" t="str">
        <x:v>Login</x:v>
      </x:c>
      <x:c r="C27" s="29" t="str">
        <x:v>POST</x:v>
      </x:c>
      <x:c r="D27" s="32" t="str">
        <x:v>/api/v1/auth/login</x:v>
      </x:c>
      <x:c r="E27" s="32" t="str">
        <x:v>SQL injection-like email input</x:v>
      </x:c>
      <x:c r="F27" s="32" t="str">
        <x:v>401; no authentication bypass</x:v>
      </x:c>
      <x:c r="G27" s="38" t="str">
        <x:v>Approved</x:v>
      </x:c>
      <x:c r="H27" s="29" t="str">
        <x:v>In scope</x:v>
      </x:c>
      <x:c r="I27" s="91" t="str">
        <x:v>Passed</x:v>
      </x:c>
      <x:c r="J27" s="92" t="str">
        <x:v>HTTP 401 (POST /api/v1/auth/login) • {"error":{"code":"INVALID_CREDENTIALS","message":"Incorrect email or password"}}</x:v>
      </x:c>
      <x:c r="K27" s="92" t="str">
        <x:v>Passed assertions; 1 recorded HTTP exchange(s); duration 657 ms. Response details in HTTP Evidence worksheet.</x:v>
      </x:c>
      <x:c r="L27" s="92" t="str">
        <x:v>HTTP Evidence rows 20–20; source: backend_report.html</x:v>
      </x:c>
      <x:c r="M27" s="93" t="n">
        <x:v>46323.253113425926</x:v>
      </x:c>
    </x:row>
    <x:row r="28" ht="31" customHeight="1">
      <x:c r="A28" s="29" t="str">
        <x:v>AUTH-014</x:v>
      </x:c>
      <x:c r="B28" s="29" t="str">
        <x:v>Login</x:v>
      </x:c>
      <x:c r="C28" s="29" t="str">
        <x:v>POST</x:v>
      </x:c>
      <x:c r="D28" s="32" t="str">
        <x:v>/api/v1/auth/login</x:v>
      </x:c>
      <x:c r="E28" s="32" t="str">
        <x:v>Malformed but length-valid email</x:v>
      </x:c>
      <x:c r="F28" s="32" t="str">
        <x:v>Currently 401 for unknown account rather than schema 422</x:v>
      </x:c>
      <x:c r="G28" s="38" t="str">
        <x:v>Approved</x:v>
      </x:c>
      <x:c r="H28" s="29" t="str">
        <x:v>In scope</x:v>
      </x:c>
      <x:c r="I28" s="91" t="str">
        <x:v>Passed</x:v>
      </x:c>
      <x:c r="J28" s="92" t="str">
        <x:v>HTTP 401 (POST /api/v1/auth/login) • {"error":{"code":"INVALID_CREDENTIALS","message":"Incorrect email or password"}}</x:v>
      </x:c>
      <x:c r="K28" s="92" t="str">
        <x:v>Passed assertions; 1 recorded HTTP exchange(s); duration 625 ms. Response details in HTTP Evidence worksheet.</x:v>
      </x:c>
      <x:c r="L28" s="92" t="str">
        <x:v>HTTP Evidence rows 21–21; source: backend_report.html</x:v>
      </x:c>
      <x:c r="M28" s="93" t="n">
        <x:v>46323.253113425926</x:v>
      </x:c>
    </x:row>
    <x:row r="29" ht="31" customHeight="1">
      <x:c r="A29" s="29" t="str">
        <x:v>AUTH-015</x:v>
      </x:c>
      <x:c r="B29" s="29" t="str">
        <x:v>Login</x:v>
      </x:c>
      <x:c r="C29" s="29" t="str">
        <x:v>POST</x:v>
      </x:c>
      <x:c r="D29" s="32" t="str">
        <x:v>/api/v1/auth/login</x:v>
      </x:c>
      <x:c r="E29" s="32" t="str">
        <x:v>Wrong password and unknown email error messages</x:v>
      </x:c>
      <x:c r="F29" s="32" t="str">
        <x:v>Identical 401 code and message</x:v>
      </x:c>
      <x:c r="G29" s="38" t="str">
        <x:v>Approved</x:v>
      </x:c>
      <x:c r="H29" s="29" t="str">
        <x:v>In scope</x:v>
      </x:c>
      <x:c r="I29" s="91" t="str">
        <x:v>Passed</x:v>
      </x:c>
      <x:c r="J29" s="92" t="str">
        <x:v>HTTP 401 / 401 (POST /api/v1/auth/login) • {"error":{"code":"INVALID_CREDENTIALS","message":"Incorrect email or password"}}</x:v>
      </x:c>
      <x:c r="K29" s="92" t="str">
        <x:v>Passed assertions; 2 recorded HTTP exchange(s); duration 00:00:01. Response details in HTTP Evidence worksheet.</x:v>
      </x:c>
      <x:c r="L29" s="92" t="str">
        <x:v>HTTP Evidence rows 22–23; source: backend_report.html</x:v>
      </x:c>
      <x:c r="M29" s="93" t="n">
        <x:v>46323.253113425926</x:v>
      </x:c>
    </x:row>
    <x:row r="30" ht="31" customHeight="1">
      <x:c r="A30" s="29" t="str">
        <x:v>AUTH-016</x:v>
      </x:c>
      <x:c r="B30" s="29" t="str">
        <x:v>Login</x:v>
      </x:c>
      <x:c r="C30" s="29" t="str">
        <x:v>POST</x:v>
      </x:c>
      <x:c r="D30" s="32" t="str">
        <x:v>/api/v1/auth/login</x:v>
      </x:c>
      <x:c r="E30" s="32" t="str">
        <x:v>Missing email</x:v>
      </x:c>
      <x:c r="F30" s="32" t="str">
        <x:v>422 VALIDATION_ERROR</x:v>
      </x:c>
      <x:c r="G30" s="38" t="str">
        <x:v>Approved</x:v>
      </x:c>
      <x:c r="H30" s="29" t="str">
        <x:v>In scope</x:v>
      </x:c>
      <x:c r="I30" s="91" t="str">
        <x:v>Passed</x:v>
      </x:c>
      <x:c r="J30" s="92" t="str">
        <x:v>HTTP 422 (POST /api/v1/auth/login) • {"error":{"code":"VALIDATION_ERROR","message":"Request validation failed"}}</x:v>
      </x:c>
      <x:c r="K30" s="92" t="str">
        <x:v>Passed assertions; 1 recorded HTTP exchange(s); duration 242 ms. Response details in HTTP Evidence worksheet.</x:v>
      </x:c>
      <x:c r="L30" s="92" t="str">
        <x:v>HTTP Evidence rows 24–24; source: backend_report.html</x:v>
      </x:c>
      <x:c r="M30" s="93" t="n">
        <x:v>46323.253113425926</x:v>
      </x:c>
    </x:row>
    <x:row r="31" ht="31" customHeight="1">
      <x:c r="A31" s="29" t="str">
        <x:v>AUTH-017</x:v>
      </x:c>
      <x:c r="B31" s="29" t="str">
        <x:v>Login</x:v>
      </x:c>
      <x:c r="C31" s="29" t="str">
        <x:v>POST</x:v>
      </x:c>
      <x:c r="D31" s="32" t="str">
        <x:v>/api/v1/auth/login</x:v>
      </x:c>
      <x:c r="E31" s="32" t="str">
        <x:v>Missing password</x:v>
      </x:c>
      <x:c r="F31" s="32" t="str">
        <x:v>422 VALIDATION_ERROR</x:v>
      </x:c>
      <x:c r="G31" s="38" t="str">
        <x:v>Approved</x:v>
      </x:c>
      <x:c r="H31" s="29" t="str">
        <x:v>In scope</x:v>
      </x:c>
      <x:c r="I31" s="91" t="str">
        <x:v>Passed</x:v>
      </x:c>
      <x:c r="J31" s="92" t="str">
        <x:v>HTTP 422 (POST /api/v1/auth/login) • {"error":{"code":"VALIDATION_ERROR","message":"Request validation failed"}}</x:v>
      </x:c>
      <x:c r="K31" s="92" t="str">
        <x:v>Passed assertions; 1 recorded HTTP exchange(s); duration 161 ms. Response details in HTTP Evidence worksheet.</x:v>
      </x:c>
      <x:c r="L31" s="92" t="str">
        <x:v>HTTP Evidence rows 25–25; source: backend_report.html</x:v>
      </x:c>
      <x:c r="M31" s="93" t="n">
        <x:v>46323.253113425926</x:v>
      </x:c>
    </x:row>
    <x:row r="32" ht="31" customHeight="1">
      <x:c r="A32" s="29" t="str">
        <x:v>AUTH-018</x:v>
      </x:c>
      <x:c r="B32" s="29" t="str">
        <x:v>Login</x:v>
      </x:c>
      <x:c r="C32" s="29" t="str">
        <x:v>POST</x:v>
      </x:c>
      <x:c r="D32" s="32" t="str">
        <x:v>/api/v1/auth/login</x:v>
      </x:c>
      <x:c r="E32" s="32" t="str">
        <x:v>Missing both fields/empty object</x:v>
      </x:c>
      <x:c r="F32" s="32" t="str">
        <x:v>422 VALIDATION_ERROR</x:v>
      </x:c>
      <x:c r="G32" s="38" t="str">
        <x:v>Approved</x:v>
      </x:c>
      <x:c r="H32" s="29" t="str">
        <x:v>In scope</x:v>
      </x:c>
      <x:c r="I32" s="91" t="str">
        <x:v>Passed</x:v>
      </x:c>
      <x:c r="J32" s="92" t="str">
        <x:v>HTTP 422 (POST /api/v1/auth/login) • {"error":{"code":"VALIDATION_ERROR","message":"Request validation failed"}}</x:v>
      </x:c>
      <x:c r="K32" s="92" t="str">
        <x:v>Passed assertions; 1 recorded HTTP exchange(s); duration 160 ms. Response details in HTTP Evidence worksheet.</x:v>
      </x:c>
      <x:c r="L32" s="92" t="str">
        <x:v>HTTP Evidence rows 26–26; source: backend_report.html</x:v>
      </x:c>
      <x:c r="M32" s="93" t="n">
        <x:v>46323.253113425926</x:v>
      </x:c>
    </x:row>
    <x:row r="33" ht="31" customHeight="1">
      <x:c r="A33" s="29" t="str">
        <x:v>AUTH-019</x:v>
      </x:c>
      <x:c r="B33" s="29" t="str">
        <x:v>Login</x:v>
      </x:c>
      <x:c r="C33" s="29" t="str">
        <x:v>POST</x:v>
      </x:c>
      <x:c r="D33" s="32" t="str">
        <x:v>/api/v1/auth/login</x:v>
      </x:c>
      <x:c r="E33" s="32" t="str">
        <x:v>Empty email string</x:v>
      </x:c>
      <x:c r="F33" s="32" t="str">
        <x:v>422 VALIDATION_ERROR</x:v>
      </x:c>
      <x:c r="G33" s="38" t="str">
        <x:v>Approved</x:v>
      </x:c>
      <x:c r="H33" s="29" t="str">
        <x:v>In scope</x:v>
      </x:c>
      <x:c r="I33" s="91" t="str">
        <x:v>Passed</x:v>
      </x:c>
      <x:c r="J33" s="92" t="str">
        <x:v>HTTP 422 (POST /api/v1/auth/login) • {"error":{"code":"VALIDATION_ERROR","message":"Request validation failed"}}</x:v>
      </x:c>
      <x:c r="K33" s="92" t="str">
        <x:v>Passed assertions; 1 recorded HTTP exchange(s); duration 160 ms. Response details in HTTP Evidence worksheet.</x:v>
      </x:c>
      <x:c r="L33" s="92" t="str">
        <x:v>HTTP Evidence rows 27–27; source: backend_report.html</x:v>
      </x:c>
      <x:c r="M33" s="93" t="n">
        <x:v>46323.253113425926</x:v>
      </x:c>
    </x:row>
    <x:row r="34" ht="31" customHeight="1">
      <x:c r="A34" s="29" t="str">
        <x:v>AUTH-020</x:v>
      </x:c>
      <x:c r="B34" s="29" t="str">
        <x:v>Login</x:v>
      </x:c>
      <x:c r="C34" s="29" t="str">
        <x:v>POST</x:v>
      </x:c>
      <x:c r="D34" s="32" t="str">
        <x:v>/api/v1/auth/login</x:v>
      </x:c>
      <x:c r="E34" s="32" t="str">
        <x:v>Empty password string</x:v>
      </x:c>
      <x:c r="F34" s="32" t="str">
        <x:v>422 VALIDATION_ERROR</x:v>
      </x:c>
      <x:c r="G34" s="38" t="str">
        <x:v>Approved</x:v>
      </x:c>
      <x:c r="H34" s="29" t="str">
        <x:v>In scope</x:v>
      </x:c>
      <x:c r="I34" s="91" t="str">
        <x:v>Passed</x:v>
      </x:c>
      <x:c r="J34" s="92" t="str">
        <x:v>HTTP 422 (POST /api/v1/auth/login) • {"error":{"code":"VALIDATION_ERROR","message":"Request validation failed"}}</x:v>
      </x:c>
      <x:c r="K34" s="92" t="str">
        <x:v>Passed assertions; 1 recorded HTTP exchange(s); duration 174 ms. Response details in HTTP Evidence worksheet.</x:v>
      </x:c>
      <x:c r="L34" s="92" t="str">
        <x:v>HTTP Evidence rows 28–28; source: backend_report.html</x:v>
      </x:c>
      <x:c r="M34" s="93" t="n">
        <x:v>46323.253113425926</x:v>
      </x:c>
    </x:row>
    <x:row r="35" ht="31" customHeight="1">
      <x:c r="A35" s="29" t="str">
        <x:v>AUTH-021</x:v>
      </x:c>
      <x:c r="B35" s="29" t="str">
        <x:v>Login</x:v>
      </x:c>
      <x:c r="C35" s="29" t="str">
        <x:v>POST</x:v>
      </x:c>
      <x:c r="D35" s="32" t="str">
        <x:v>/api/v1/auth/login</x:v>
      </x:c>
      <x:c r="E35" s="32" t="str">
        <x:v>Email length 2</x:v>
      </x:c>
      <x:c r="F35" s="32" t="str">
        <x:v>422 VALIDATION_ERROR</x:v>
      </x:c>
      <x:c r="G35" s="38" t="str">
        <x:v>Approved</x:v>
      </x:c>
      <x:c r="H35" s="29" t="str">
        <x:v>In scope</x:v>
      </x:c>
      <x:c r="I35" s="91" t="str">
        <x:v>Passed</x:v>
      </x:c>
      <x:c r="J35" s="92" t="str">
        <x:v>HTTP 422 (POST /api/v1/auth/login) • {"error":{"code":"VALIDATION_ERROR","message":"Request validation failed"}}</x:v>
      </x:c>
      <x:c r="K35" s="92" t="str">
        <x:v>Passed assertions; 1 recorded HTTP exchange(s); duration 165 ms. Response details in HTTP Evidence worksheet.</x:v>
      </x:c>
      <x:c r="L35" s="92" t="str">
        <x:v>HTTP Evidence rows 29–29; source: backend_report.html</x:v>
      </x:c>
      <x:c r="M35" s="93" t="n">
        <x:v>46323.253113425926</x:v>
      </x:c>
    </x:row>
    <x:row r="36" ht="31" customHeight="1">
      <x:c r="A36" s="29" t="str">
        <x:v>AUTH-022</x:v>
      </x:c>
      <x:c r="B36" s="29" t="str">
        <x:v>Login</x:v>
      </x:c>
      <x:c r="C36" s="29" t="str">
        <x:v>POST</x:v>
      </x:c>
      <x:c r="D36" s="32" t="str">
        <x:v>/api/v1/auth/login</x:v>
      </x:c>
      <x:c r="E36" s="32" t="str">
        <x:v>Email length 256</x:v>
      </x:c>
      <x:c r="F36" s="32" t="str">
        <x:v>422 VALIDATION_ERROR</x:v>
      </x:c>
      <x:c r="G36" s="38" t="str">
        <x:v>Approved</x:v>
      </x:c>
      <x:c r="H36" s="29" t="str">
        <x:v>In scope</x:v>
      </x:c>
      <x:c r="I36" s="91" t="str">
        <x:v>Passed</x:v>
      </x:c>
      <x:c r="J36" s="92" t="str">
        <x:v>HTTP 422 (POST /api/v1/auth/login) • {"error":{"code":"VALIDATION_ERROR","message":"Request validation failed"}}</x:v>
      </x:c>
      <x:c r="K36" s="92" t="str">
        <x:v>Passed assertions; 1 recorded HTTP exchange(s); duration 183 ms. Response details in HTTP Evidence worksheet.</x:v>
      </x:c>
      <x:c r="L36" s="92" t="str">
        <x:v>HTTP Evidence rows 30–30; source: backend_report.html</x:v>
      </x:c>
      <x:c r="M36" s="93" t="n">
        <x:v>46323.253113425926</x:v>
      </x:c>
    </x:row>
    <x:row r="37" ht="31" customHeight="1">
      <x:c r="A37" s="29" t="str">
        <x:v>AUTH-023</x:v>
      </x:c>
      <x:c r="B37" s="29" t="str">
        <x:v>Login</x:v>
      </x:c>
      <x:c r="C37" s="29" t="str">
        <x:v>POST</x:v>
      </x:c>
      <x:c r="D37" s="32" t="str">
        <x:v>/api/v1/auth/login</x:v>
      </x:c>
      <x:c r="E37" s="32" t="str">
        <x:v>Password length 129</x:v>
      </x:c>
      <x:c r="F37" s="32" t="str">
        <x:v>422 VALIDATION_ERROR</x:v>
      </x:c>
      <x:c r="G37" s="38" t="str">
        <x:v>Approved</x:v>
      </x:c>
      <x:c r="H37" s="29" t="str">
        <x:v>In scope</x:v>
      </x:c>
      <x:c r="I37" s="91" t="str">
        <x:v>Passed</x:v>
      </x:c>
      <x:c r="J37" s="92" t="str">
        <x:v>HTTP 422 (POST /api/v1/auth/login) • {"error":{"code":"VALIDATION_ERROR","message":"Request validation failed"}}</x:v>
      </x:c>
      <x:c r="K37" s="92" t="str">
        <x:v>Passed assertions; 1 recorded HTTP exchange(s); duration 143 ms. Response details in HTTP Evidence worksheet.</x:v>
      </x:c>
      <x:c r="L37" s="92" t="str">
        <x:v>HTTP Evidence rows 31–31; source: backend_report.html</x:v>
      </x:c>
      <x:c r="M37" s="93" t="n">
        <x:v>46323.253113425926</x:v>
      </x:c>
    </x:row>
    <x:row r="38" ht="68" customHeight="1">
      <x:c r="A38" s="29" t="str">
        <x:v>AUTH-024</x:v>
      </x:c>
      <x:c r="B38" s="29" t="str">
        <x:v>Login</x:v>
      </x:c>
      <x:c r="C38" s="29" t="str">
        <x:v>POST</x:v>
      </x:c>
      <x:c r="D38" s="32" t="str">
        <x:v>/api/v1/auth/login</x:v>
      </x:c>
      <x:c r="E38" s="32" t="str">
        <x:v>Null email or password</x:v>
      </x:c>
      <x:c r="F38" s="32" t="str">
        <x:v>422 for each null-field variant</x:v>
      </x:c>
      <x:c r="G38" s="38" t="str">
        <x:v>Approved</x:v>
      </x:c>
      <x:c r="H38" s="29" t="str">
        <x:v>In scope</x:v>
      </x:c>
      <x:c r="I38" s="91" t="str">
        <x:v>Failed</x:v>
      </x:c>
      <x:c r="J38" s="92" t="str">
        <x:v>HTTP 200 (POST /api/v1/auth/login) • {"user":{"user_id":2,"email":"maple.bakery@grow8.dev","role":"creator"},"access_token":"&lt;redacted&gt;"}</x:v>
      </x:c>
      <x:c r="K38" s="92" t="str">
        <x:v>FAILED (automation issue): expected HTTP 422 for null email/password; received HTTP 200. Captured request contains a valid email/password, not a null field. Test helper substitutes the default email when email=None. Fix test request construction and rerun; backend defect is not established.</x:v>
      </x:c>
      <x:c r="L38" s="92" t="str">
        <x:v>HTTP Evidence rows 32–32; source: backend_report.html</x:v>
      </x:c>
      <x:c r="M38" s="93" t="n">
        <x:v>46323.253113425926</x:v>
      </x:c>
    </x:row>
    <x:row r="39" ht="31" customHeight="1">
      <x:c r="A39" s="29" t="str">
        <x:v>AUTH-025</x:v>
      </x:c>
      <x:c r="B39" s="29" t="str">
        <x:v>Login</x:v>
      </x:c>
      <x:c r="C39" s="29" t="str">
        <x:v>POST</x:v>
      </x:c>
      <x:c r="D39" s="32" t="str">
        <x:v>/api/v1/auth/login</x:v>
      </x:c>
      <x:c r="E39" s="32" t="str">
        <x:v>Invalid JSON type for email or password</x:v>
      </x:c>
      <x:c r="F39" s="32" t="str">
        <x:v>422 for each number/array/object variant</x:v>
      </x:c>
      <x:c r="G39" s="38" t="str">
        <x:v>Approved</x:v>
      </x:c>
      <x:c r="H39" s="29" t="str">
        <x:v>In scope</x:v>
      </x:c>
      <x:c r="I39" s="91" t="str">
        <x:v>Passed</x:v>
      </x:c>
      <x:c r="J39" s="92" t="str">
        <x:v>HTTP 422 / 422 / 422 / 422 / 422 / 422 (POST /api/v1/auth/login) • {"error":{"code":"VALIDATION_ERROR","message":"Request validation failed"}}</x:v>
      </x:c>
      <x:c r="K39" s="92" t="str">
        <x:v>Passed assertions; 6 recorded HTTP exchange(s); duration 217 ms. Response details in HTTP Evidence worksheet.</x:v>
      </x:c>
      <x:c r="L39" s="92" t="str">
        <x:v>HTTP Evidence rows 33–38; source: backend_report.html</x:v>
      </x:c>
      <x:c r="M39" s="93" t="n">
        <x:v>46323.253113425926</x:v>
      </x:c>
    </x:row>
    <x:row r="40" ht="31" customHeight="1">
      <x:c r="A40" s="29" t="str">
        <x:v>AUTH-026</x:v>
      </x:c>
      <x:c r="B40" s="29" t="str">
        <x:v>Login</x:v>
      </x:c>
      <x:c r="C40" s="29" t="str">
        <x:v>POST</x:v>
      </x:c>
      <x:c r="D40" s="32" t="str">
        <x:v>/api/v1/auth/login</x:v>
      </x:c>
      <x:c r="E40" s="32" t="str">
        <x:v>Malformed JSON body</x:v>
      </x:c>
      <x:c r="F40" s="32" t="str">
        <x:v>422 VALIDATION_ERROR</x:v>
      </x:c>
      <x:c r="G40" s="38" t="str">
        <x:v>Approved</x:v>
      </x:c>
      <x:c r="H40" s="29" t="str">
        <x:v>In scope</x:v>
      </x:c>
      <x:c r="I40" s="91" t="str">
        <x:v>Passed</x:v>
      </x:c>
      <x:c r="J40" s="92" t="str">
        <x:v>HTTP 422 (POST /api/v1/auth/login) • {"error":{"code":"VALIDATION_ERROR","message":"Request validation failed"}}</x:v>
      </x:c>
      <x:c r="K40" s="92" t="str">
        <x:v>Passed assertions; 1 recorded HTTP exchange(s); duration 158 ms. Response details in HTTP Evidence worksheet.</x:v>
      </x:c>
      <x:c r="L40" s="92" t="str">
        <x:v>HTTP Evidence rows 39–39; source: backend_report.html</x:v>
      </x:c>
      <x:c r="M40" s="93" t="n">
        <x:v>46323.253113425926</x:v>
      </x:c>
    </x:row>
    <x:row r="41" ht="31" customHeight="1">
      <x:c r="A41" s="29" t="str">
        <x:v>AUTH-027</x:v>
      </x:c>
      <x:c r="B41" s="29" t="str">
        <x:v>Login</x:v>
      </x:c>
      <x:c r="C41" s="29" t="str">
        <x:v>POST</x:v>
      </x:c>
      <x:c r="D41" s="32" t="str">
        <x:v>/api/v1/auth/login</x:v>
      </x:c>
      <x:c r="E41" s="32" t="str">
        <x:v>Validate JWT signature, sub, role, iat and exp</x:v>
      </x:c>
      <x:c r="F41" s="32" t="str">
        <x:v>Valid signature; claims match authenticated user and token lifetime</x:v>
      </x:c>
      <x:c r="G41" s="38" t="str">
        <x:v>Approved</x:v>
      </x:c>
      <x:c r="H41" s="29" t="str">
        <x:v>In scope</x:v>
      </x:c>
      <x:c r="I41" s="91" t="str">
        <x:v>Passed</x:v>
      </x:c>
      <x:c r="J41" s="92" t="str">
        <x:v>HTTP 200 (POST /api/v1/auth/login) • {"user":{"user_id":2,"email":"maple.bakery@grow8.dev","role":"creator"},"access_token":"&lt;redacted&gt;"}</x:v>
      </x:c>
      <x:c r="K41" s="92" t="str">
        <x:v>Passed assertions; 1 recorded HTTP exchange(s); duration 579 ms. Response details in HTTP Evidence worksheet.</x:v>
      </x:c>
      <x:c r="L41" s="92" t="str">
        <x:v>HTTP Evidence rows 40–40; source: backend_report.html</x:v>
      </x:c>
      <x:c r="M41" s="93" t="n">
        <x:v>46323.253113425926</x:v>
      </x:c>
    </x:row>
    <x:row r="42" ht="31" customHeight="1">
      <x:c r="A42" s="29" t="str">
        <x:v>AUTH-028</x:v>
      </x:c>
      <x:c r="B42" s="29" t="str">
        <x:v>Login</x:v>
      </x:c>
      <x:c r="C42" s="29" t="str">
        <x:v>POST</x:v>
      </x:c>
      <x:c r="D42" s="32" t="str">
        <x:v>/api/v1/auth/login</x:v>
      </x:c>
      <x:c r="E42" s="32" t="str">
        <x:v>Check successful response for secrets</x:v>
      </x:c>
      <x:c r="F42" s="32" t="str">
        <x:v>No password, password hash, or signing secret disclosed</x:v>
      </x:c>
      <x:c r="G42" s="38" t="str">
        <x:v>Approved</x:v>
      </x:c>
      <x:c r="H42" s="29" t="str">
        <x:v>In scope</x:v>
      </x:c>
      <x:c r="I42" s="91" t="str">
        <x:v>Passed</x:v>
      </x:c>
      <x:c r="J42" s="92" t="str">
        <x:v>HTTP 200 (POST /api/v1/auth/login) • {"user":{"user_id":2,"email":"maple.bakery@grow8.dev","role":"creator"},"access_token":"&lt;redacted&gt;"}</x:v>
      </x:c>
      <x:c r="K42" s="92" t="str">
        <x:v>Passed assertions; 1 recorded HTTP exchange(s); duration 617 ms. Response details in HTTP Evidence worksheet.</x:v>
      </x:c>
      <x:c r="L42" s="92" t="str">
        <x:v>HTTP Evidence rows 41–41; source: backend_report.html</x:v>
      </x:c>
      <x:c r="M42" s="93" t="n">
        <x:v>46323.253113425926</x:v>
      </x:c>
    </x:row>
    <x:row r="43" ht="31" customHeight="1">
      <x:c r="A43" s="29" t="str">
        <x:v>ME-001</x:v>
      </x:c>
      <x:c r="B43" s="29" t="str">
        <x:v>Current User</x:v>
      </x:c>
      <x:c r="C43" s="29" t="str">
        <x:v>GET</x:v>
      </x:c>
      <x:c r="D43" s="32" t="str">
        <x:v>/api/v1/auth/me</x:v>
      </x:c>
      <x:c r="E43" s="32" t="str">
        <x:v>Valid Creator JWT</x:v>
      </x:c>
      <x:c r="F43" s="32" t="str">
        <x:v>200; correct Creator details</x:v>
      </x:c>
      <x:c r="G43" s="38" t="str">
        <x:v>Approved</x:v>
      </x:c>
      <x:c r="H43" s="29" t="str">
        <x:v>In scope</x:v>
      </x:c>
      <x:c r="I43" s="91" t="str">
        <x:v>Passed</x:v>
      </x:c>
      <x:c r="J43" s="92" t="str">
        <x:v>HTTP 200 (GET /api/v1/auth/me) • {"role":"creator"} • Supporting requests: POST 200</x:v>
      </x:c>
      <x:c r="K43" s="92" t="str">
        <x:v>Passed assertions; 2 recorded HTTP exchange(s); duration 606 ms. Response details in HTTP Evidence worksheet.</x:v>
      </x:c>
      <x:c r="L43" s="92" t="str">
        <x:v>HTTP Evidence rows 42–43; source: backend_report.html</x:v>
      </x:c>
      <x:c r="M43" s="93" t="n">
        <x:v>46323.253113425926</x:v>
      </x:c>
    </x:row>
    <x:row r="44" ht="31" customHeight="1">
      <x:c r="A44" s="29" t="str">
        <x:v>ME-002</x:v>
      </x:c>
      <x:c r="B44" s="29" t="str">
        <x:v>Current User</x:v>
      </x:c>
      <x:c r="C44" s="29" t="str">
        <x:v>GET</x:v>
      </x:c>
      <x:c r="D44" s="32" t="str">
        <x:v>/api/v1/auth/me</x:v>
      </x:c>
      <x:c r="E44" s="32" t="str">
        <x:v>Valid Contributor JWT</x:v>
      </x:c>
      <x:c r="F44" s="32" t="str">
        <x:v>200; correct Contributor details</x:v>
      </x:c>
      <x:c r="G44" s="38" t="str">
        <x:v>Approved</x:v>
      </x:c>
      <x:c r="H44" s="29" t="str">
        <x:v>In scope</x:v>
      </x:c>
      <x:c r="I44" s="91" t="str">
        <x:v>Passed</x:v>
      </x:c>
      <x:c r="J44" s="92" t="str">
        <x:v>HTTP 200 (GET /api/v1/auth/me) • {"role":"contributor"} • Supporting requests: POST 200</x:v>
      </x:c>
      <x:c r="K44" s="92" t="str">
        <x:v>Passed assertions; 2 recorded HTTP exchange(s); duration 701 ms. Response details in HTTP Evidence worksheet.</x:v>
      </x:c>
      <x:c r="L44" s="92" t="str">
        <x:v>HTTP Evidence rows 44–45; source: backend_report.html</x:v>
      </x:c>
      <x:c r="M44" s="93" t="n">
        <x:v>46323.253113425926</x:v>
      </x:c>
    </x:row>
    <x:row r="45" ht="31" customHeight="1">
      <x:c r="A45" s="29" t="str">
        <x:v>ME-003</x:v>
      </x:c>
      <x:c r="B45" s="29" t="str">
        <x:v>Current User</x:v>
      </x:c>
      <x:c r="C45" s="29" t="str">
        <x:v>GET</x:v>
      </x:c>
      <x:c r="D45" s="32" t="str">
        <x:v>/api/v1/auth/me</x:v>
      </x:c>
      <x:c r="E45" s="32" t="str">
        <x:v>Valid Admin JWT</x:v>
      </x:c>
      <x:c r="F45" s="32" t="str">
        <x:v>200; correct Admin details</x:v>
      </x:c>
      <x:c r="G45" s="38" t="str">
        <x:v>Approved</x:v>
      </x:c>
      <x:c r="H45" s="29" t="str">
        <x:v>In scope</x:v>
      </x:c>
      <x:c r="I45" s="91" t="str">
        <x:v>Passed</x:v>
      </x:c>
      <x:c r="J45" s="92" t="str">
        <x:v>HTTP 200 (GET /api/v1/auth/me) • {"role":"admin"} • Supporting requests: POST 200</x:v>
      </x:c>
      <x:c r="K45" s="92" t="str">
        <x:v>Passed assertions; 2 recorded HTTP exchange(s); duration 762 ms. Response details in HTTP Evidence worksheet.</x:v>
      </x:c>
      <x:c r="L45" s="92" t="str">
        <x:v>HTTP Evidence rows 46–47; source: backend_report.html</x:v>
      </x:c>
      <x:c r="M45" s="93" t="n">
        <x:v>46323.253113425926</x:v>
      </x:c>
    </x:row>
    <x:row r="46" ht="31" customHeight="1">
      <x:c r="A46" s="29" t="str">
        <x:v>ME-004</x:v>
      </x:c>
      <x:c r="B46" s="29" t="str">
        <x:v>Current User</x:v>
      </x:c>
      <x:c r="C46" s="29" t="str">
        <x:v>GET</x:v>
      </x:c>
      <x:c r="D46" s="32" t="str">
        <x:v>/api/v1/auth/me</x:v>
      </x:c>
      <x:c r="E46" s="32" t="str">
        <x:v>Login then request /auth/me</x:v>
      </x:c>
      <x:c r="F46" s="32" t="str">
        <x:v>200; user matches login response</x:v>
      </x:c>
      <x:c r="G46" s="38" t="str">
        <x:v>Approved</x:v>
      </x:c>
      <x:c r="H46" s="29" t="str">
        <x:v>In scope</x:v>
      </x:c>
      <x:c r="I46" s="91" t="str">
        <x:v>Passed</x:v>
      </x:c>
      <x:c r="J46" s="92" t="str">
        <x:v>HTTP 200 (GET /api/v1/auth/me) • {"role":"creator"} • Supporting requests: POST 200, POST 200</x:v>
      </x:c>
      <x:c r="K46" s="92" t="str">
        <x:v>Passed assertions; 3 recorded HTTP exchange(s); duration 00:00:01. Response details in HTTP Evidence worksheet.</x:v>
      </x:c>
      <x:c r="L46" s="92" t="str">
        <x:v>HTTP Evidence rows 48–50; source: backend_report.html</x:v>
      </x:c>
      <x:c r="M46" s="93" t="n">
        <x:v>46323.253113425926</x:v>
      </x:c>
    </x:row>
    <x:row r="47" ht="31" customHeight="1">
      <x:c r="A47" s="29" t="str">
        <x:v>ME-005</x:v>
      </x:c>
      <x:c r="B47" s="29" t="str">
        <x:v>Current User</x:v>
      </x:c>
      <x:c r="C47" s="29" t="str">
        <x:v>GET</x:v>
      </x:c>
      <x:c r="D47" s="32" t="str">
        <x:v>/api/v1/auth/me</x:v>
      </x:c>
      <x:c r="E47" s="32" t="str">
        <x:v>Reuse valid JWT in multiple requests</x:v>
      </x:c>
      <x:c r="F47" s="32" t="str">
        <x:v>All requests succeed while valid</x:v>
      </x:c>
      <x:c r="G47" s="38" t="str">
        <x:v>Approved</x:v>
      </x:c>
      <x:c r="H47" s="29" t="str">
        <x:v>In scope</x:v>
      </x:c>
      <x:c r="I47" s="91" t="str">
        <x:v>Passed</x:v>
      </x:c>
      <x:c r="J47" s="92" t="str">
        <x:v>HTTP 200 / 200 / 200 / 200 (GET /api/v1/auth/me) • {"role":"creator"} • Supporting requests: POST 200</x:v>
      </x:c>
      <x:c r="K47" s="92" t="str">
        <x:v>Passed assertions; 5 recorded HTTP exchange(s); duration 656 ms. Response details in HTTP Evidence worksheet.</x:v>
      </x:c>
      <x:c r="L47" s="92" t="str">
        <x:v>HTTP Evidence rows 51–55; source: backend_report.html</x:v>
      </x:c>
      <x:c r="M47" s="93" t="n">
        <x:v>46323.253113425926</x:v>
      </x:c>
    </x:row>
    <x:row r="48" ht="31" customHeight="1">
      <x:c r="A48" s="29" t="str">
        <x:v>ME-006</x:v>
      </x:c>
      <x:c r="B48" s="29" t="str">
        <x:v>Current User</x:v>
      </x:c>
      <x:c r="C48" s="29" t="str">
        <x:v>GET</x:v>
      </x:c>
      <x:c r="D48" s="32" t="str">
        <x:v>/api/v1/auth/me</x:v>
      </x:c>
      <x:c r="E48" s="32" t="str">
        <x:v>Tokens from two different users</x:v>
      </x:c>
      <x:c r="F48" s="32" t="str">
        <x:v>Each response contains only its own user details</x:v>
      </x:c>
      <x:c r="G48" s="38" t="str">
        <x:v>Approved</x:v>
      </x:c>
      <x:c r="H48" s="29" t="str">
        <x:v>In scope</x:v>
      </x:c>
      <x:c r="I48" s="91" t="str">
        <x:v>Passed</x:v>
      </x:c>
      <x:c r="J48" s="92" t="str">
        <x:v>HTTP 200 / 200 (GET /api/v1/auth/me) • {"role":"contributor"} • Supporting requests: POST 200, POST 200</x:v>
      </x:c>
      <x:c r="K48" s="92" t="str">
        <x:v>Passed assertions; 4 recorded HTTP exchange(s); duration 00:00:01. Response details in HTTP Evidence worksheet.</x:v>
      </x:c>
      <x:c r="L48" s="92" t="str">
        <x:v>HTTP Evidence rows 56–59; source: backend_report.html</x:v>
      </x:c>
      <x:c r="M48" s="93" t="n">
        <x:v>46323.253113425926</x:v>
      </x:c>
    </x:row>
    <x:row r="49" ht="31" customHeight="1">
      <x:c r="A49" s="29" t="str">
        <x:v>ME-007</x:v>
      </x:c>
      <x:c r="B49" s="29" t="str">
        <x:v>Current User</x:v>
      </x:c>
      <x:c r="C49" s="29" t="str">
        <x:v>GET</x:v>
      </x:c>
      <x:c r="D49" s="32" t="str">
        <x:v>/api/v1/auth/me</x:v>
      </x:c>
      <x:c r="E49" s="32" t="str">
        <x:v>Authorization header missing</x:v>
      </x:c>
      <x:c r="F49" s="32" t="str">
        <x:v>401 AUTH_REQUIRED</x:v>
      </x:c>
      <x:c r="G49" s="38" t="str">
        <x:v>Approved</x:v>
      </x:c>
      <x:c r="H49" s="29" t="str">
        <x:v>In scope</x:v>
      </x:c>
      <x:c r="I49" s="91" t="str">
        <x:v>Passed</x:v>
      </x:c>
      <x:c r="J49" s="92" t="str">
        <x:v>HTTP 401 (GET /api/v1/auth/me) • {"error":{"code":"AUTH_REQUIRED","message":"Authentication required"}}</x:v>
      </x:c>
      <x:c r="K49" s="92" t="str">
        <x:v>Passed assertions; 1 recorded HTTP exchange(s); duration 251 ms. Response details in HTTP Evidence worksheet.</x:v>
      </x:c>
      <x:c r="L49" s="92" t="str">
        <x:v>HTTP Evidence rows 60–60; source: backend_report.html</x:v>
      </x:c>
      <x:c r="M49" s="93" t="n">
        <x:v>46323.253113425926</x:v>
      </x:c>
    </x:row>
    <x:row r="50" ht="31" customHeight="1">
      <x:c r="A50" s="29" t="str">
        <x:v>ME-008</x:v>
      </x:c>
      <x:c r="B50" s="29" t="str">
        <x:v>Current User</x:v>
      </x:c>
      <x:c r="C50" s="29" t="str">
        <x:v>GET</x:v>
      </x:c>
      <x:c r="D50" s="32" t="str">
        <x:v>/api/v1/auth/me</x:v>
      </x:c>
      <x:c r="E50" s="32" t="str">
        <x:v>Authorization header empty</x:v>
      </x:c>
      <x:c r="F50" s="32" t="str">
        <x:v>401 AUTH_REQUIRED</x:v>
      </x:c>
      <x:c r="G50" s="38" t="str">
        <x:v>Approved</x:v>
      </x:c>
      <x:c r="H50" s="29" t="str">
        <x:v>In scope</x:v>
      </x:c>
      <x:c r="I50" s="91" t="str">
        <x:v>Passed</x:v>
      </x:c>
      <x:c r="J50" s="92" t="str">
        <x:v>HTTP 401 (GET /api/v1/auth/me) • {"error":{"code":"AUTH_REQUIRED","message":"Authentication required"}}</x:v>
      </x:c>
      <x:c r="K50" s="92" t="str">
        <x:v>Passed assertions; 1 recorded HTTP exchange(s); duration 137 ms. Response details in HTTP Evidence worksheet.</x:v>
      </x:c>
      <x:c r="L50" s="92" t="str">
        <x:v>HTTP Evidence rows 61–61; source: backend_report.html</x:v>
      </x:c>
      <x:c r="M50" s="93" t="n">
        <x:v>46323.253113425926</x:v>
      </x:c>
    </x:row>
    <x:row r="51" ht="31" customHeight="1">
      <x:c r="A51" s="29" t="str">
        <x:v>ME-009</x:v>
      </x:c>
      <x:c r="B51" s="29" t="str">
        <x:v>Current User</x:v>
      </x:c>
      <x:c r="C51" s="29" t="str">
        <x:v>GET</x:v>
      </x:c>
      <x:c r="D51" s="32" t="str">
        <x:v>/api/v1/auth/me</x:v>
      </x:c>
      <x:c r="E51" s="32" t="str">
        <x:v>Basic rather than Bearer auth scheme</x:v>
      </x:c>
      <x:c r="F51" s="32" t="str">
        <x:v>401 AUTH_REQUIRED</x:v>
      </x:c>
      <x:c r="G51" s="38" t="str">
        <x:v>Approved</x:v>
      </x:c>
      <x:c r="H51" s="29" t="str">
        <x:v>In scope</x:v>
      </x:c>
      <x:c r="I51" s="91" t="str">
        <x:v>Passed</x:v>
      </x:c>
      <x:c r="J51" s="92" t="str">
        <x:v>HTTP 401 (GET /api/v1/auth/me) • {"error":{"code":"AUTH_REQUIRED","message":"Authentication required"}}</x:v>
      </x:c>
      <x:c r="K51" s="92" t="str">
        <x:v>Passed assertions; 1 recorded HTTP exchange(s); duration 139 ms. Response details in HTTP Evidence worksheet.</x:v>
      </x:c>
      <x:c r="L51" s="92" t="str">
        <x:v>HTTP Evidence rows 62–62; source: backend_report.html</x:v>
      </x:c>
      <x:c r="M51" s="93" t="n">
        <x:v>46323.253113425926</x:v>
      </x:c>
    </x:row>
    <x:row r="52" ht="31" customHeight="1">
      <x:c r="A52" s="29" t="str">
        <x:v>ME-010</x:v>
      </x:c>
      <x:c r="B52" s="29" t="str">
        <x:v>Current User</x:v>
      </x:c>
      <x:c r="C52" s="29" t="str">
        <x:v>GET</x:v>
      </x:c>
      <x:c r="D52" s="32" t="str">
        <x:v>/api/v1/auth/me</x:v>
      </x:c>
      <x:c r="E52" s="32" t="str">
        <x:v>Bearer scheme without token</x:v>
      </x:c>
      <x:c r="F52" s="32" t="str">
        <x:v>401 AUTH_REQUIRED</x:v>
      </x:c>
      <x:c r="G52" s="38" t="str">
        <x:v>Approved</x:v>
      </x:c>
      <x:c r="H52" s="29" t="str">
        <x:v>In scope</x:v>
      </x:c>
      <x:c r="I52" s="91" t="str">
        <x:v>Passed</x:v>
      </x:c>
      <x:c r="J52" s="92" t="str">
        <x:v>HTTP 401 (GET /api/v1/auth/me) • {"error":{"code":"AUTH_REQUIRED","message":"Authentication required"}}</x:v>
      </x:c>
      <x:c r="K52" s="92" t="str">
        <x:v>Passed assertions; 1 recorded HTTP exchange(s); duration 148 ms. Response details in HTTP Evidence worksheet.</x:v>
      </x:c>
      <x:c r="L52" s="92" t="str">
        <x:v>HTTP Evidence rows 63–63; source: backend_report.html</x:v>
      </x:c>
      <x:c r="M52" s="93" t="n">
        <x:v>46323.253113425926</x:v>
      </x:c>
    </x:row>
    <x:row r="53" ht="31" customHeight="1">
      <x:c r="A53" s="29" t="str">
        <x:v>ME-011</x:v>
      </x:c>
      <x:c r="B53" s="29" t="str">
        <x:v>Current User</x:v>
      </x:c>
      <x:c r="C53" s="29" t="str">
        <x:v>GET</x:v>
      </x:c>
      <x:c r="D53" s="32" t="str">
        <x:v>/api/v1/auth/me</x:v>
      </x:c>
      <x:c r="E53" s="32" t="str">
        <x:v>Random text as bearer token</x:v>
      </x:c>
      <x:c r="F53" s="32" t="str">
        <x:v>401 INVALID_TOKEN</x:v>
      </x:c>
      <x:c r="G53" s="38" t="str">
        <x:v>Approved</x:v>
      </x:c>
      <x:c r="H53" s="29" t="str">
        <x:v>In scope</x:v>
      </x:c>
      <x:c r="I53" s="91" t="str">
        <x:v>Passed</x:v>
      </x:c>
      <x:c r="J53" s="92" t="str">
        <x:v>HTTP 401 (GET /api/v1/auth/me) • {"error":{"code":"INVALID_TOKEN","message":"Invalid or expired token"}}</x:v>
      </x:c>
      <x:c r="K53" s="92" t="str">
        <x:v>Passed assertions; 1 recorded HTTP exchange(s); duration 155 ms. Response details in HTTP Evidence worksheet.</x:v>
      </x:c>
      <x:c r="L53" s="92" t="str">
        <x:v>HTTP Evidence rows 64–64; source: backend_report.html</x:v>
      </x:c>
      <x:c r="M53" s="93" t="n">
        <x:v>46323.253113425926</x:v>
      </x:c>
    </x:row>
    <x:row r="54" ht="31" customHeight="1">
      <x:c r="A54" s="29" t="str">
        <x:v>ME-012</x:v>
      </x:c>
      <x:c r="B54" s="29" t="str">
        <x:v>Current User</x:v>
      </x:c>
      <x:c r="C54" s="29" t="str">
        <x:v>GET</x:v>
      </x:c>
      <x:c r="D54" s="32" t="str">
        <x:v>/api/v1/auth/me</x:v>
      </x:c>
      <x:c r="E54" s="32" t="str">
        <x:v>JWT with invalid signature</x:v>
      </x:c>
      <x:c r="F54" s="32" t="str">
        <x:v>401 INVALID_TOKEN</x:v>
      </x:c>
      <x:c r="G54" s="38" t="str">
        <x:v>Approved</x:v>
      </x:c>
      <x:c r="H54" s="29" t="str">
        <x:v>In scope</x:v>
      </x:c>
      <x:c r="I54" s="91" t="str">
        <x:v>Passed</x:v>
      </x:c>
      <x:c r="J54" s="92" t="str">
        <x:v>HTTP 401 (GET /api/v1/auth/me) • {"error":{"code":"INVALID_TOKEN","message":"Invalid or expired token"}}</x:v>
      </x:c>
      <x:c r="K54" s="92" t="str">
        <x:v>Passed assertions; 1 recorded HTTP exchange(s); duration 139 ms. Response details in HTTP Evidence worksheet.</x:v>
      </x:c>
      <x:c r="L54" s="92" t="str">
        <x:v>HTTP Evidence rows 65–65; source: backend_report.html</x:v>
      </x:c>
      <x:c r="M54" s="93" t="n">
        <x:v>46323.253113425926</x:v>
      </x:c>
    </x:row>
    <x:row r="55" ht="31" customHeight="1">
      <x:c r="A55" s="29" t="str">
        <x:v>ME-013</x:v>
      </x:c>
      <x:c r="B55" s="29" t="str">
        <x:v>Current User</x:v>
      </x:c>
      <x:c r="C55" s="29" t="str">
        <x:v>GET</x:v>
      </x:c>
      <x:c r="D55" s="32" t="str">
        <x:v>/api/v1/auth/me</x:v>
      </x:c>
      <x:c r="E55" s="32" t="str">
        <x:v>JWT payload modified after signing</x:v>
      </x:c>
      <x:c r="F55" s="32" t="str">
        <x:v>401 INVALID_TOKEN</x:v>
      </x:c>
      <x:c r="G55" s="38" t="str">
        <x:v>Approved</x:v>
      </x:c>
      <x:c r="H55" s="29" t="str">
        <x:v>In scope</x:v>
      </x:c>
      <x:c r="I55" s="91" t="str">
        <x:v>Passed</x:v>
      </x:c>
      <x:c r="J55" s="92" t="str">
        <x:v>HTTP 401 (GET /api/v1/auth/me) • {"error":{"code":"INVALID_TOKEN","message":"Invalid or expired token"}}</x:v>
      </x:c>
      <x:c r="K55" s="92" t="str">
        <x:v>Passed assertions; 1 recorded HTTP exchange(s); duration 140 ms. Response details in HTTP Evidence worksheet.</x:v>
      </x:c>
      <x:c r="L55" s="92" t="str">
        <x:v>HTTP Evidence rows 66–66; source: backend_report.html</x:v>
      </x:c>
      <x:c r="M55" s="93" t="n">
        <x:v>46323.253113425926</x:v>
      </x:c>
    </x:row>
    <x:row r="56" ht="31" customHeight="1">
      <x:c r="A56" s="29" t="str">
        <x:v>ME-014</x:v>
      </x:c>
      <x:c r="B56" s="29" t="str">
        <x:v>Current User</x:v>
      </x:c>
      <x:c r="C56" s="29" t="str">
        <x:v>GET</x:v>
      </x:c>
      <x:c r="D56" s="32" t="str">
        <x:v>/api/v1/auth/me</x:v>
      </x:c>
      <x:c r="E56" s="32" t="str">
        <x:v>Expired JWT</x:v>
      </x:c>
      <x:c r="F56" s="32" t="str">
        <x:v>401 INVALID_TOKEN</x:v>
      </x:c>
      <x:c r="G56" s="38" t="str">
        <x:v>Approved</x:v>
      </x:c>
      <x:c r="H56" s="29" t="str">
        <x:v>In scope</x:v>
      </x:c>
      <x:c r="I56" s="91" t="str">
        <x:v>Passed</x:v>
      </x:c>
      <x:c r="J56" s="92" t="str">
        <x:v>HTTP 401 (GET /api/v1/auth/me) • {"error":{"code":"INVALID_TOKEN","message":"Invalid or expired token"}}</x:v>
      </x:c>
      <x:c r="K56" s="92" t="str">
        <x:v>Passed assertions; 1 recorded HTTP exchange(s); duration 157 ms. Response details in HTTP Evidence worksheet.</x:v>
      </x:c>
      <x:c r="L56" s="92" t="str">
        <x:v>HTTP Evidence rows 67–67; source: backend_report.html</x:v>
      </x:c>
      <x:c r="M56" s="93" t="n">
        <x:v>46323.253113425926</x:v>
      </x:c>
    </x:row>
    <x:row r="57" ht="31" customHeight="1">
      <x:c r="A57" s="29" t="str">
        <x:v>ME-015</x:v>
      </x:c>
      <x:c r="B57" s="29" t="str">
        <x:v>Current User</x:v>
      </x:c>
      <x:c r="C57" s="29" t="str">
        <x:v>GET</x:v>
      </x:c>
      <x:c r="D57" s="32" t="str">
        <x:v>/api/v1/auth/me</x:v>
      </x:c>
      <x:c r="E57" s="32" t="str">
        <x:v>JWT missing sub</x:v>
      </x:c>
      <x:c r="F57" s="32" t="str">
        <x:v>401 INVALID_TOKEN</x:v>
      </x:c>
      <x:c r="G57" s="38" t="str">
        <x:v>Approved</x:v>
      </x:c>
      <x:c r="H57" s="29" t="str">
        <x:v>In scope</x:v>
      </x:c>
      <x:c r="I57" s="91" t="str">
        <x:v>Passed</x:v>
      </x:c>
      <x:c r="J57" s="92" t="str">
        <x:v>HTTP 401 (GET /api/v1/auth/me) • {"error":{"code":"INVALID_TOKEN","message":"Invalid or expired token"}}</x:v>
      </x:c>
      <x:c r="K57" s="92" t="str">
        <x:v>Passed assertions; 1 recorded HTTP exchange(s); duration 144 ms. Response details in HTTP Evidence worksheet.</x:v>
      </x:c>
      <x:c r="L57" s="92" t="str">
        <x:v>HTTP Evidence rows 68–68; source: backend_report.html</x:v>
      </x:c>
      <x:c r="M57" s="93" t="n">
        <x:v>46323.253113425926</x:v>
      </x:c>
    </x:row>
    <x:row r="58" ht="31" customHeight="1">
      <x:c r="A58" s="29" t="str">
        <x:v>ME-016</x:v>
      </x:c>
      <x:c r="B58" s="29" t="str">
        <x:v>Current User</x:v>
      </x:c>
      <x:c r="C58" s="29" t="str">
        <x:v>GET</x:v>
      </x:c>
      <x:c r="D58" s="32" t="str">
        <x:v>/api/v1/auth/me</x:v>
      </x:c>
      <x:c r="E58" s="32" t="str">
        <x:v>JWT missing role</x:v>
      </x:c>
      <x:c r="F58" s="32" t="str">
        <x:v>401 INVALID_TOKEN</x:v>
      </x:c>
      <x:c r="G58" s="38" t="str">
        <x:v>Approved</x:v>
      </x:c>
      <x:c r="H58" s="29" t="str">
        <x:v>In scope</x:v>
      </x:c>
      <x:c r="I58" s="91" t="str">
        <x:v>Passed</x:v>
      </x:c>
      <x:c r="J58" s="92" t="str">
        <x:v>HTTP 401 (GET /api/v1/auth/me) • {"error":{"code":"INVALID_TOKEN","message":"Invalid or expired token"}}</x:v>
      </x:c>
      <x:c r="K58" s="92" t="str">
        <x:v>Passed assertions; 1 recorded HTTP exchange(s); duration 146 ms. Response details in HTTP Evidence worksheet.</x:v>
      </x:c>
      <x:c r="L58" s="92" t="str">
        <x:v>HTTP Evidence rows 69–69; source: backend_report.html</x:v>
      </x:c>
      <x:c r="M58" s="93" t="n">
        <x:v>46323.253113425926</x:v>
      </x:c>
    </x:row>
    <x:row r="59" ht="31" customHeight="1">
      <x:c r="A59" s="29" t="str">
        <x:v>ME-017</x:v>
      </x:c>
      <x:c r="B59" s="29" t="str">
        <x:v>Current User</x:v>
      </x:c>
      <x:c r="C59" s="29" t="str">
        <x:v>GET</x:v>
      </x:c>
      <x:c r="D59" s="32" t="str">
        <x:v>/api/v1/auth/me</x:v>
      </x:c>
      <x:c r="E59" s="32" t="str">
        <x:v>JWT missing exp</x:v>
      </x:c>
      <x:c r="F59" s="32" t="str">
        <x:v>401 INVALID_TOKEN</x:v>
      </x:c>
      <x:c r="G59" s="38" t="str">
        <x:v>Approved</x:v>
      </x:c>
      <x:c r="H59" s="29" t="str">
        <x:v>In scope</x:v>
      </x:c>
      <x:c r="I59" s="91" t="str">
        <x:v>Passed</x:v>
      </x:c>
      <x:c r="J59" s="92" t="str">
        <x:v>HTTP 401 (GET /api/v1/auth/me) • {"error":{"code":"INVALID_TOKEN","message":"Invalid or expired token"}}</x:v>
      </x:c>
      <x:c r="K59" s="92" t="str">
        <x:v>Passed assertions; 1 recorded HTTP exchange(s); duration 146 ms. Response details in HTTP Evidence worksheet.</x:v>
      </x:c>
      <x:c r="L59" s="92" t="str">
        <x:v>HTTP Evidence rows 70–70; source: backend_report.html</x:v>
      </x:c>
      <x:c r="M59" s="93" t="n">
        <x:v>46323.253113425926</x:v>
      </x:c>
    </x:row>
    <x:row r="60" ht="31" customHeight="1">
      <x:c r="A60" s="29" t="str">
        <x:v>ME-018</x:v>
      </x:c>
      <x:c r="B60" s="29" t="str">
        <x:v>Current User</x:v>
      </x:c>
      <x:c r="C60" s="29" t="str">
        <x:v>GET</x:v>
      </x:c>
      <x:c r="D60" s="32" t="str">
        <x:v>/api/v1/auth/me</x:v>
      </x:c>
      <x:c r="E60" s="32" t="str">
        <x:v>JWT subject not convertible to integer</x:v>
      </x:c>
      <x:c r="F60" s="32" t="str">
        <x:v>401 INVALID_TOKEN</x:v>
      </x:c>
      <x:c r="G60" s="38" t="str">
        <x:v>Approved</x:v>
      </x:c>
      <x:c r="H60" s="29" t="str">
        <x:v>In scope</x:v>
      </x:c>
      <x:c r="I60" s="91" t="str">
        <x:v>Passed</x:v>
      </x:c>
      <x:c r="J60" s="92" t="str">
        <x:v>HTTP 401 (GET /api/v1/auth/me) • {"error":{"code":"INVALID_TOKEN","message":"Invalid or expired token"}}</x:v>
      </x:c>
      <x:c r="K60" s="92" t="str">
        <x:v>Passed assertions; 1 recorded HTTP exchange(s); duration 168 ms. Response details in HTTP Evidence worksheet.</x:v>
      </x:c>
      <x:c r="L60" s="92" t="str">
        <x:v>HTTP Evidence rows 71–71; source: backend_report.html</x:v>
      </x:c>
      <x:c r="M60" s="93" t="n">
        <x:v>46323.253113425926</x:v>
      </x:c>
    </x:row>
    <x:row r="61" ht="31" customHeight="1">
      <x:c r="A61" s="29" t="str">
        <x:v>ME-019</x:v>
      </x:c>
      <x:c r="B61" s="29" t="str">
        <x:v>Current User</x:v>
      </x:c>
      <x:c r="C61" s="29" t="str">
        <x:v>GET</x:v>
      </x:c>
      <x:c r="D61" s="32" t="str">
        <x:v>/api/v1/auth/me</x:v>
      </x:c>
      <x:c r="E61" s="32" t="str">
        <x:v>JWT using unsupported algorithm</x:v>
      </x:c>
      <x:c r="F61" s="32" t="str">
        <x:v>401 INVALID_TOKEN</x:v>
      </x:c>
      <x:c r="G61" s="38" t="str">
        <x:v>Approved</x:v>
      </x:c>
      <x:c r="H61" s="29" t="str">
        <x:v>In scope</x:v>
      </x:c>
      <x:c r="I61" s="91" t="str">
        <x:v>Passed</x:v>
      </x:c>
      <x:c r="J61" s="92" t="str">
        <x:v>HTTP 401 (GET /api/v1/auth/me) • {"error":{"code":"INVALID_TOKEN","message":"Invalid or expired token"}}</x:v>
      </x:c>
      <x:c r="K61" s="92" t="str">
        <x:v>Passed assertions; 1 recorded HTTP exchange(s); duration 138 ms. Response details in HTTP Evidence worksheet.</x:v>
      </x:c>
      <x:c r="L61" s="92" t="str">
        <x:v>HTTP Evidence rows 72–72; source: backend_report.html</x:v>
      </x:c>
      <x:c r="M61" s="93" t="n">
        <x:v>46323.253113425926</x:v>
      </x:c>
    </x:row>
    <x:row r="62" ht="31" customHeight="1">
      <x:c r="A62" s="29" t="str">
        <x:v>ME-020</x:v>
      </x:c>
      <x:c r="B62" s="29" t="str">
        <x:v>Current User</x:v>
      </x:c>
      <x:c r="C62" s="29" t="str">
        <x:v>GET</x:v>
      </x:c>
      <x:c r="D62" s="32" t="str">
        <x:v>/api/v1/auth/me</x:v>
      </x:c>
      <x:c r="E62" s="32" t="str">
        <x:v>Validly signed JWT for nonexistent user</x:v>
      </x:c>
      <x:c r="F62" s="32" t="str">
        <x:v>401 INVALID_TOKEN</x:v>
      </x:c>
      <x:c r="G62" s="38" t="str">
        <x:v>Approved</x:v>
      </x:c>
      <x:c r="H62" s="29" t="str">
        <x:v>In scope</x:v>
      </x:c>
      <x:c r="I62" s="91" t="str">
        <x:v>Passed</x:v>
      </x:c>
      <x:c r="J62" s="92" t="str">
        <x:v>HTTP 401 (GET /api/v1/auth/me) • {"error":{"code":"INVALID_TOKEN","message":"Invalid or expired token"}}</x:v>
      </x:c>
      <x:c r="K62" s="92" t="str">
        <x:v>Passed assertions; 1 recorded HTTP exchange(s); duration 158 ms. Response details in HTTP Evidence worksheet.</x:v>
      </x:c>
      <x:c r="L62" s="92" t="str">
        <x:v>HTTP Evidence rows 73–73; source: backend_report.html</x:v>
      </x:c>
      <x:c r="M62" s="93" t="n">
        <x:v>46323.253113425926</x:v>
      </x:c>
    </x:row>
    <x:row r="63" ht="31" customHeight="1">
      <x:c r="A63" s="29" t="str">
        <x:v>ME-021</x:v>
      </x:c>
      <x:c r="B63" s="29" t="str">
        <x:v>Current User</x:v>
      </x:c>
      <x:c r="C63" s="29" t="str">
        <x:v>GET</x:v>
      </x:c>
      <x:c r="D63" s="32" t="str">
        <x:v>/api/v1/auth/me</x:v>
      </x:c>
      <x:c r="E63" s="32" t="str">
        <x:v>Token for subsequently deactivated account</x:v>
      </x:c>
      <x:c r="F63" s="32" t="str">
        <x:v>401 INVALID_TOKEN</x:v>
      </x:c>
      <x:c r="G63" s="38" t="str">
        <x:v>Approved</x:v>
      </x:c>
      <x:c r="H63" s="29" t="str">
        <x:v>In scope</x:v>
      </x:c>
      <x:c r="I63" s="91" t="str">
        <x:v>Passed</x:v>
      </x:c>
      <x:c r="J63" s="92" t="str">
        <x:v>HTTP 401 (GET /api/v1/auth/me) • {"error":{"code":"INVALID_TOKEN","message":"Invalid or expired token"}} • Supporting requests: POST 200</x:v>
      </x:c>
      <x:c r="K63" s="92" t="str">
        <x:v>Passed assertions; 2 recorded HTTP exchange(s); duration 602 ms. Response details in HTTP Evidence worksheet.</x:v>
      </x:c>
      <x:c r="L63" s="92" t="str">
        <x:v>HTTP Evidence rows 74–75; source: backend_report.html</x:v>
      </x:c>
      <x:c r="M63" s="93" t="n">
        <x:v>46323.253113425926</x:v>
      </x:c>
    </x:row>
    <x:row r="64" ht="31" customHeight="1">
      <x:c r="A64" s="29" t="str">
        <x:v>ME-022</x:v>
      </x:c>
      <x:c r="B64" s="29" t="str">
        <x:v>Current User</x:v>
      </x:c>
      <x:c r="C64" s="29" t="str">
        <x:v>GET</x:v>
      </x:c>
      <x:c r="D64" s="32" t="str">
        <x:v>/api/v1/auth/me</x:v>
      </x:c>
      <x:c r="E64" s="32" t="str">
        <x:v>Change full_name after token issued</x:v>
      </x:c>
      <x:c r="F64" s="32" t="str">
        <x:v>200; current name returned</x:v>
      </x:c>
      <x:c r="G64" s="38" t="str">
        <x:v>Approved</x:v>
      </x:c>
      <x:c r="H64" s="29" t="str">
        <x:v>In scope</x:v>
      </x:c>
      <x:c r="I64" s="91" t="str">
        <x:v>Passed</x:v>
      </x:c>
      <x:c r="J64" s="92" t="str">
        <x:v>HTTP 200 (GET /api/v1/auth/me) • {"role":"creator"} • Supporting requests: POST 200</x:v>
      </x:c>
      <x:c r="K64" s="92" t="str">
        <x:v>Passed assertions; 2 recorded HTTP exchange(s); duration 640 ms. Response details in HTTP Evidence worksheet.</x:v>
      </x:c>
      <x:c r="L64" s="92" t="str">
        <x:v>HTTP Evidence rows 76–77; source: backend_report.html</x:v>
      </x:c>
      <x:c r="M64" s="93" t="n">
        <x:v>46323.253113425926</x:v>
      </x:c>
    </x:row>
    <x:row r="65" ht="31" customHeight="1">
      <x:c r="A65" s="29" t="str">
        <x:v>ME-023</x:v>
      </x:c>
      <x:c r="B65" s="29" t="str">
        <x:v>Current User</x:v>
      </x:c>
      <x:c r="C65" s="29" t="str">
        <x:v>GET</x:v>
      </x:c>
      <x:c r="D65" s="32" t="str">
        <x:v>/api/v1/auth/me</x:v>
      </x:c>
      <x:c r="E65" s="32" t="str">
        <x:v>JWT role claim differs from database role</x:v>
      </x:c>
      <x:c r="F65" s="32" t="str">
        <x:v>200; database role returned under current implementation</x:v>
      </x:c>
      <x:c r="G65" s="38" t="str">
        <x:v>Approved</x:v>
      </x:c>
      <x:c r="H65" s="29" t="str">
        <x:v>In scope</x:v>
      </x:c>
      <x:c r="I65" s="91" t="str">
        <x:v>Passed</x:v>
      </x:c>
      <x:c r="J65" s="92" t="str">
        <x:v>HTTP 200 (GET /api/v1/auth/me) • {"role":"creator"}</x:v>
      </x:c>
      <x:c r="K65" s="92" t="str">
        <x:v>Passed assertions; 1 recorded HTTP exchange(s); duration 162 ms. Response details in HTTP Evidence worksheet.</x:v>
      </x:c>
      <x:c r="L65" s="92" t="str">
        <x:v>HTTP Evidence rows 78–78; source: backend_report.html</x:v>
      </x:c>
      <x:c r="M65" s="93" t="n">
        <x:v>46323.253113425926</x:v>
      </x:c>
    </x:row>
    <x:row r="66" ht="31" customHeight="1">
      <x:c r="A66" s="29" t="str">
        <x:v>ME-024</x:v>
      </x:c>
      <x:c r="B66" s="29" t="str">
        <x:v>Current User</x:v>
      </x:c>
      <x:c r="C66" s="29" t="str">
        <x:v>GET</x:v>
      </x:c>
      <x:c r="D66" s="32" t="str">
        <x:v>/api/v1/auth/me</x:v>
      </x:c>
      <x:c r="E66" s="32" t="str">
        <x:v>Validate response confidentiality and exact contract</x:v>
      </x:c>
      <x:c r="F66" s="32" t="str">
        <x:v>200; user_id/email/full_name/role only; no secrets</x:v>
      </x:c>
      <x:c r="G66" s="38" t="str">
        <x:v>Approved</x:v>
      </x:c>
      <x:c r="H66" s="29" t="str">
        <x:v>In scope</x:v>
      </x:c>
      <x:c r="I66" s="91" t="str">
        <x:v>Passed</x:v>
      </x:c>
      <x:c r="J66" s="92" t="str">
        <x:v>HTTP 200 (GET /api/v1/auth/me) • {"role":"creator"} • Supporting requests: POST 200</x:v>
      </x:c>
      <x:c r="K66" s="92" t="str">
        <x:v>Passed assertions; 2 recorded HTTP exchange(s); duration 550 ms. Response details in HTTP Evidence worksheet.</x:v>
      </x:c>
      <x:c r="L66" s="92" t="str">
        <x:v>HTTP Evidence rows 79–80; source: backend_report.html</x:v>
      </x:c>
      <x:c r="M66" s="93" t="n">
        <x:v>46323.253113425926</x:v>
      </x:c>
    </x:row>
    <x:row r="67" ht="31" customHeight="1">
      <x:c r="A67" s="29" t="str">
        <x:v>CAT-001</x:v>
      </x:c>
      <x:c r="B67" s="29" t="str">
        <x:v>Categories</x:v>
      </x:c>
      <x:c r="C67" s="29" t="str">
        <x:v>GET</x:v>
      </x:c>
      <x:c r="D67" s="32" t="str">
        <x:v>/api/v1/categories</x:v>
      </x:c>
      <x:c r="E67" s="32" t="str">
        <x:v>Retrieve available categories</x:v>
      </x:c>
      <x:c r="F67" s="32" t="str">
        <x:v>200; category list returned</x:v>
      </x:c>
      <x:c r="G67" s="38" t="str">
        <x:v>Approved</x:v>
      </x:c>
      <x:c r="H67" s="29" t="str">
        <x:v>In scope</x:v>
      </x:c>
      <x:c r="I67" s="91" t="str">
        <x:v>Passed</x:v>
      </x:c>
      <x:c r="J67" s="92" t="str">
        <x:v>HTTP 200 (GET /api/v1/categories) • array[2]; first: community, knowledge</x:v>
      </x:c>
      <x:c r="K67" s="92" t="str">
        <x:v>Passed assertions; 1 recorded HTTP exchange(s); duration 167 ms. Response details in HTTP Evidence worksheet.</x:v>
      </x:c>
      <x:c r="L67" s="92" t="str">
        <x:v>HTTP Evidence rows 81–81; source: backend_report.html</x:v>
      </x:c>
      <x:c r="M67" s="93" t="n">
        <x:v>46323.253113425926</x:v>
      </x:c>
    </x:row>
    <x:row r="68" ht="31" customHeight="1">
      <x:c r="A68" s="29" t="str">
        <x:v>CAT-002</x:v>
      </x:c>
      <x:c r="B68" s="29" t="str">
        <x:v>Categories</x:v>
      </x:c>
      <x:c r="C68" s="29" t="str">
        <x:v>GET</x:v>
      </x:c>
      <x:c r="D68" s="32" t="str">
        <x:v>/api/v1/categories</x:v>
      </x:c>
      <x:c r="E68" s="32" t="str">
        <x:v>Get categories without authentication</x:v>
      </x:c>
      <x:c r="F68" s="32" t="str">
        <x:v>200; publicly accessible</x:v>
      </x:c>
      <x:c r="G68" s="38" t="str">
        <x:v>Approved</x:v>
      </x:c>
      <x:c r="H68" s="29" t="str">
        <x:v>In scope</x:v>
      </x:c>
      <x:c r="I68" s="91" t="str">
        <x:v>Passed</x:v>
      </x:c>
      <x:c r="J68" s="92" t="str">
        <x:v>HTTP 200 (GET /api/v1/categories) • array[2]; first: community, knowledge</x:v>
      </x:c>
      <x:c r="K68" s="92" t="str">
        <x:v>Passed assertions; 1 recorded HTTP exchange(s); duration 141 ms. Response details in HTTP Evidence worksheet.</x:v>
      </x:c>
      <x:c r="L68" s="92" t="str">
        <x:v>HTTP Evidence rows 82–82; source: backend_report.html</x:v>
      </x:c>
      <x:c r="M68" s="93" t="n">
        <x:v>46323.253113425926</x:v>
      </x:c>
    </x:row>
    <x:row r="69" ht="31" customHeight="1">
      <x:c r="A69" s="29" t="str">
        <x:v>CAT-003</x:v>
      </x:c>
      <x:c r="B69" s="29" t="str">
        <x:v>Categories</x:v>
      </x:c>
      <x:c r="C69" s="29" t="str">
        <x:v>GET</x:v>
      </x:c>
      <x:c r="D69" s="32" t="str">
        <x:v>/api/v1/categories</x:v>
      </x:c>
      <x:c r="E69" s="32" t="str">
        <x:v>Get categories using Creator token</x:v>
      </x:c>
      <x:c r="F69" s="32" t="str">
        <x:v>200; same categories</x:v>
      </x:c>
      <x:c r="G69" s="38" t="str">
        <x:v>Approved</x:v>
      </x:c>
      <x:c r="H69" s="29" t="str">
        <x:v>In scope</x:v>
      </x:c>
      <x:c r="I69" s="91" t="str">
        <x:v>Passed</x:v>
      </x:c>
      <x:c r="J69" s="92" t="str">
        <x:v>HTTP 200 / 200 (GET /api/v1/categories) • array[2]; first: community, knowledge • Supporting requests: POST 200</x:v>
      </x:c>
      <x:c r="K69" s="92" t="str">
        <x:v>Passed assertions; 3 recorded HTTP exchange(s); duration 630 ms. Response details in HTTP Evidence worksheet.</x:v>
      </x:c>
      <x:c r="L69" s="92" t="str">
        <x:v>HTTP Evidence rows 83–85; source: backend_report.html</x:v>
      </x:c>
      <x:c r="M69" s="93" t="n">
        <x:v>46323.253113425926</x:v>
      </x:c>
    </x:row>
    <x:row r="70" ht="31" customHeight="1">
      <x:c r="A70" s="29" t="str">
        <x:v>CAT-004</x:v>
      </x:c>
      <x:c r="B70" s="29" t="str">
        <x:v>Categories</x:v>
      </x:c>
      <x:c r="C70" s="29" t="str">
        <x:v>GET</x:v>
      </x:c>
      <x:c r="D70" s="32" t="str">
        <x:v>/api/v1/categories</x:v>
      </x:c>
      <x:c r="E70" s="32" t="str">
        <x:v>Get categories using Contributor and Admin tokens</x:v>
      </x:c>
      <x:c r="F70" s="32" t="str">
        <x:v>200; same public categories</x:v>
      </x:c>
      <x:c r="G70" s="38" t="str">
        <x:v>Approved</x:v>
      </x:c>
      <x:c r="H70" s="29" t="str">
        <x:v>In scope</x:v>
      </x:c>
      <x:c r="I70" s="91" t="str">
        <x:v>Passed</x:v>
      </x:c>
      <x:c r="J70" s="92" t="str">
        <x:v>HTTP 200 / 200 / 200 (GET /api/v1/categories) • array[2]; first: community, knowledge • Supporting requests: POST 200, POST 200</x:v>
      </x:c>
      <x:c r="K70" s="92" t="str">
        <x:v>Passed assertions; 5 recorded HTTP exchange(s); duration 00:00:01. Response details in HTTP Evidence worksheet.</x:v>
      </x:c>
      <x:c r="L70" s="92" t="str">
        <x:v>HTTP Evidence rows 86–90; source: backend_report.html</x:v>
      </x:c>
      <x:c r="M70" s="93" t="n">
        <x:v>46323.253113425926</x:v>
      </x:c>
    </x:row>
    <x:row r="71" ht="31" customHeight="1">
      <x:c r="A71" s="29" t="str">
        <x:v>CAT-005</x:v>
      </x:c>
      <x:c r="B71" s="29" t="str">
        <x:v>Categories</x:v>
      </x:c>
      <x:c r="C71" s="29" t="str">
        <x:v>GET</x:v>
      </x:c>
      <x:c r="D71" s="32" t="str">
        <x:v>/api/v1/categories</x:v>
      </x:c>
      <x:c r="E71" s="32" t="str">
        <x:v>Repeat category listing requests</x:v>
      </x:c>
      <x:c r="F71" s="32" t="str">
        <x:v>Same response if reference data unchanged</x:v>
      </x:c>
      <x:c r="G71" s="38" t="str">
        <x:v>Approved</x:v>
      </x:c>
      <x:c r="H71" s="29" t="str">
        <x:v>In scope</x:v>
      </x:c>
      <x:c r="I71" s="91" t="str">
        <x:v>Passed</x:v>
      </x:c>
      <x:c r="J71" s="92" t="str">
        <x:v>HTTP 200 / 200 / 200 (GET /api/v1/categories) • array[2]; first: community, knowledge</x:v>
      </x:c>
      <x:c r="K71" s="92" t="str">
        <x:v>Passed assertions; 3 recorded HTTP exchange(s); duration 195 ms. Response details in HTTP Evidence worksheet.</x:v>
      </x:c>
      <x:c r="L71" s="92" t="str">
        <x:v>HTTP Evidence rows 91–93; source: backend_report.html</x:v>
      </x:c>
      <x:c r="M71" s="93" t="n">
        <x:v>46323.253113425926</x:v>
      </x:c>
    </x:row>
    <x:row r="72" ht="31" customHeight="1">
      <x:c r="A72" s="29" t="str">
        <x:v>CAT-006</x:v>
      </x:c>
      <x:c r="B72" s="29" t="str">
        <x:v>Categories</x:v>
      </x:c>
      <x:c r="C72" s="29" t="str">
        <x:v>GET</x:v>
      </x:c>
      <x:c r="D72" s="32" t="str">
        <x:v>/api/v1/categories</x:v>
      </x:c>
      <x:c r="E72" s="32" t="str">
        <x:v>Validate category response JSON</x:v>
      </x:c>
      <x:c r="F72" s="32" t="str">
        <x:v>Top-level array of objects</x:v>
      </x:c>
      <x:c r="G72" s="38" t="str">
        <x:v>Approved</x:v>
      </x:c>
      <x:c r="H72" s="29" t="str">
        <x:v>In scope</x:v>
      </x:c>
      <x:c r="I72" s="91" t="str">
        <x:v>Passed</x:v>
      </x:c>
      <x:c r="J72" s="92" t="str">
        <x:v>HTTP 200 (GET /api/v1/categories) • array[2]; first: community, knowledge</x:v>
      </x:c>
      <x:c r="K72" s="92" t="str">
        <x:v>Passed assertions; 1 recorded HTTP exchange(s); duration 169 ms. Response details in HTTP Evidence worksheet.</x:v>
      </x:c>
      <x:c r="L72" s="92" t="str">
        <x:v>HTTP Evidence rows 94–94; source: backend_report.html</x:v>
      </x:c>
      <x:c r="M72" s="93" t="n">
        <x:v>46323.253113425926</x:v>
      </x:c>
    </x:row>
    <x:row r="73" ht="31" customHeight="1">
      <x:c r="A73" s="29" t="str">
        <x:v>CAT-007</x:v>
      </x:c>
      <x:c r="B73" s="29" t="str">
        <x:v>Categories</x:v>
      </x:c>
      <x:c r="C73" s="29" t="str">
        <x:v>GET</x:v>
      </x:c>
      <x:c r="D73" s="32" t="str">
        <x:v>/api/v1/categories</x:v>
      </x:c>
      <x:c r="E73" s="32" t="str">
        <x:v>Validate category fields and types</x:v>
      </x:c>
      <x:c r="F73" s="32" t="str">
        <x:v>code/name strings, description string or null</x:v>
      </x:c>
      <x:c r="G73" s="38" t="str">
        <x:v>Approved</x:v>
      </x:c>
      <x:c r="H73" s="29" t="str">
        <x:v>In scope</x:v>
      </x:c>
      <x:c r="I73" s="91" t="str">
        <x:v>Passed</x:v>
      </x:c>
      <x:c r="J73" s="92" t="str">
        <x:v>HTTP 200 (GET /api/v1/categories) • array[2]; first: community, knowledge</x:v>
      </x:c>
      <x:c r="K73" s="92" t="str">
        <x:v>Passed assertions; 1 recorded HTTP exchange(s); duration 178 ms. Response details in HTTP Evidence worksheet.</x:v>
      </x:c>
      <x:c r="L73" s="92" t="str">
        <x:v>HTTP Evidence rows 95–95; source: backend_report.html</x:v>
      </x:c>
      <x:c r="M73" s="93" t="n">
        <x:v>46323.253113425926</x:v>
      </x:c>
    </x:row>
    <x:row r="74" ht="31" customHeight="1">
      <x:c r="A74" s="29" t="str">
        <x:v>CAT-008</x:v>
      </x:c>
      <x:c r="B74" s="29" t="str">
        <x:v>Categories</x:v>
      </x:c>
      <x:c r="C74" s="29" t="str">
        <x:v>GET</x:v>
      </x:c>
      <x:c r="D74" s="32" t="str">
        <x:v>/api/v1/categories</x:v>
      </x:c>
      <x:c r="E74" s="32" t="str">
        <x:v>Verify category ordering</x:v>
      </x:c>
      <x:c r="F74" s="32" t="str">
        <x:v>Names sorted alphabetically ascending</x:v>
      </x:c>
      <x:c r="G74" s="38" t="str">
        <x:v>Approved</x:v>
      </x:c>
      <x:c r="H74" s="29" t="str">
        <x:v>In scope</x:v>
      </x:c>
      <x:c r="I74" s="91" t="str">
        <x:v>Passed</x:v>
      </x:c>
      <x:c r="J74" s="92" t="str">
        <x:v>HTTP 200 (GET /api/v1/categories) • array[2]; first: community, knowledge</x:v>
      </x:c>
      <x:c r="K74" s="92" t="str">
        <x:v>Passed assertions; 1 recorded HTTP exchange(s); duration 157 ms. Response details in HTTP Evidence worksheet.</x:v>
      </x:c>
      <x:c r="L74" s="92" t="str">
        <x:v>HTTP Evidence rows 96–96; source: backend_report.html</x:v>
      </x:c>
      <x:c r="M74" s="93" t="n">
        <x:v>46323.253113425926</x:v>
      </x:c>
    </x:row>
    <x:row r="75" ht="31" customHeight="1">
      <x:c r="A75" s="29" t="str">
        <x:v>CAT-009</x:v>
      </x:c>
      <x:c r="B75" s="29" t="str">
        <x:v>Categories</x:v>
      </x:c>
      <x:c r="C75" s="29" t="str">
        <x:v>GET</x:v>
      </x:c>
      <x:c r="D75" s="32" t="str">
        <x:v>/api/v1/categories</x:v>
      </x:c>
      <x:c r="E75" s="32" t="str">
        <x:v>Verify response excludes unnecessary fields</x:v>
      </x:c>
      <x:c r="F75" s="32" t="str">
        <x:v>No category_id or internal metadata</x:v>
      </x:c>
      <x:c r="G75" s="38" t="str">
        <x:v>Approved</x:v>
      </x:c>
      <x:c r="H75" s="29" t="str">
        <x:v>In scope</x:v>
      </x:c>
      <x:c r="I75" s="91" t="str">
        <x:v>Passed</x:v>
      </x:c>
      <x:c r="J75" s="92" t="str">
        <x:v>HTTP 200 (GET /api/v1/categories) • array[2]; first: community, knowledge</x:v>
      </x:c>
      <x:c r="K75" s="92" t="str">
        <x:v>Passed assertions; 1 recorded HTTP exchange(s); duration 143 ms. Response details in HTTP Evidence worksheet.</x:v>
      </x:c>
      <x:c r="L75" s="92" t="str">
        <x:v>HTTP Evidence rows 97–97; source: backend_report.html</x:v>
      </x:c>
      <x:c r="M75" s="93" t="n">
        <x:v>46323.253113425926</x:v>
      </x:c>
    </x:row>
    <x:row r="76" ht="31" customHeight="1">
      <x:c r="A76" s="29" t="str">
        <x:v>CAT-010</x:v>
      </x:c>
      <x:c r="B76" s="29" t="str">
        <x:v>Categories</x:v>
      </x:c>
      <x:c r="C76" s="29" t="str">
        <x:v>GET</x:v>
      </x:c>
      <x:c r="D76" s="32" t="str">
        <x:v>/api/v1/categories</x:v>
      </x:c>
      <x:c r="E76" s="32" t="str">
        <x:v>Verify category code uniqueness</x:v>
      </x:c>
      <x:c r="F76" s="32" t="str">
        <x:v>No duplicate codes in response</x:v>
      </x:c>
      <x:c r="G76" s="38" t="str">
        <x:v>Approved</x:v>
      </x:c>
      <x:c r="H76" s="29" t="str">
        <x:v>In scope</x:v>
      </x:c>
      <x:c r="I76" s="91" t="str">
        <x:v>Passed</x:v>
      </x:c>
      <x:c r="J76" s="92" t="str">
        <x:v>HTTP 200 (GET /api/v1/categories) • array[2]; first: community, knowledge</x:v>
      </x:c>
      <x:c r="K76" s="92" t="str">
        <x:v>Passed assertions; 1 recorded HTTP exchange(s); duration 148 ms. Response details in HTTP Evidence worksheet.</x:v>
      </x:c>
      <x:c r="L76" s="92" t="str">
        <x:v>HTTP Evidence rows 98–98; source: backend_report.html</x:v>
      </x:c>
      <x:c r="M76" s="93" t="n">
        <x:v>46323.253113425926</x:v>
      </x:c>
    </x:row>
    <x:row r="77" ht="31" customHeight="1">
      <x:c r="A77" s="29" t="str">
        <x:v>SKL-001</x:v>
      </x:c>
      <x:c r="B77" s="29" t="str">
        <x:v>Skills</x:v>
      </x:c>
      <x:c r="C77" s="29" t="str">
        <x:v>GET</x:v>
      </x:c>
      <x:c r="D77" s="32" t="str">
        <x:v>/api/v1/skills</x:v>
      </x:c>
      <x:c r="E77" s="32" t="str">
        <x:v>Retrieve all seeded available skills</x:v>
      </x:c>
      <x:c r="F77" s="32" t="str">
        <x:v>200; expected 12 skill objects with standard seed</x:v>
      </x:c>
      <x:c r="G77" s="38" t="str">
        <x:v>Approved</x:v>
      </x:c>
      <x:c r="H77" s="29" t="str">
        <x:v>In scope</x:v>
      </x:c>
      <x:c r="I77" s="91" t="str">
        <x:v>Passed</x:v>
      </x:c>
      <x:c r="J77" s="92" t="str">
        <x:v>HTTP 200 (GET /api/v1/skills) • array[12]; first: customer-service, data-cleaning, data-entry</x:v>
      </x:c>
      <x:c r="K77" s="92" t="str">
        <x:v>Passed assertions; 1 recorded HTTP exchange(s); duration 170 ms. Response details in HTTP Evidence worksheet.</x:v>
      </x:c>
      <x:c r="L77" s="92" t="str">
        <x:v>HTTP Evidence rows 99–99; source: backend_report.html</x:v>
      </x:c>
      <x:c r="M77" s="93" t="n">
        <x:v>46323.253113425926</x:v>
      </x:c>
    </x:row>
    <x:row r="78" ht="31" customHeight="1">
      <x:c r="A78" s="29" t="str">
        <x:v>SKL-002</x:v>
      </x:c>
      <x:c r="B78" s="29" t="str">
        <x:v>Skills</x:v>
      </x:c>
      <x:c r="C78" s="29" t="str">
        <x:v>GET</x:v>
      </x:c>
      <x:c r="D78" s="32" t="str">
        <x:v>/api/v1/skills</x:v>
      </x:c>
      <x:c r="E78" s="32" t="str">
        <x:v>Retrieve skills unauthenticated</x:v>
      </x:c>
      <x:c r="F78" s="32" t="str">
        <x:v>200; publicly accessible</x:v>
      </x:c>
      <x:c r="G78" s="38" t="str">
        <x:v>Approved</x:v>
      </x:c>
      <x:c r="H78" s="29" t="str">
        <x:v>In scope</x:v>
      </x:c>
      <x:c r="I78" s="91" t="str">
        <x:v>Passed</x:v>
      </x:c>
      <x:c r="J78" s="92" t="str">
        <x:v>HTTP 200 (GET /api/v1/skills) • array[12]; first: customer-service, data-cleaning, data-entry</x:v>
      </x:c>
      <x:c r="K78" s="92" t="str">
        <x:v>Passed assertions; 1 recorded HTTP exchange(s); duration 158 ms. Response details in HTTP Evidence worksheet.</x:v>
      </x:c>
      <x:c r="L78" s="92" t="str">
        <x:v>HTTP Evidence rows 100–100; source: backend_report.html</x:v>
      </x:c>
      <x:c r="M78" s="93" t="n">
        <x:v>46323.253113425926</x:v>
      </x:c>
    </x:row>
    <x:row r="79" ht="31" customHeight="1">
      <x:c r="A79" s="29" t="str">
        <x:v>SKL-003</x:v>
      </x:c>
      <x:c r="B79" s="29" t="str">
        <x:v>Skills</x:v>
      </x:c>
      <x:c r="C79" s="29" t="str">
        <x:v>GET</x:v>
      </x:c>
      <x:c r="D79" s="32" t="str">
        <x:v>/api/v1/skills</x:v>
      </x:c>
      <x:c r="E79" s="32" t="str">
        <x:v>Retrieve skills using Creator JWT</x:v>
      </x:c>
      <x:c r="F79" s="32" t="str">
        <x:v>200; complete list</x:v>
      </x:c>
      <x:c r="G79" s="38" t="str">
        <x:v>Approved</x:v>
      </x:c>
      <x:c r="H79" s="29" t="str">
        <x:v>In scope</x:v>
      </x:c>
      <x:c r="I79" s="91" t="str">
        <x:v>Passed</x:v>
      </x:c>
      <x:c r="J79" s="92" t="str">
        <x:v>HTTP 200 / 200 (GET /api/v1/skills) • array[12]; first: customer-service, data-cleaning, data-entry • Supporting requests: POST 200</x:v>
      </x:c>
      <x:c r="K79" s="92" t="str">
        <x:v>Passed assertions; 3 recorded HTTP exchange(s); duration 743 ms. Response details in HTTP Evidence worksheet.</x:v>
      </x:c>
      <x:c r="L79" s="92" t="str">
        <x:v>HTTP Evidence rows 101–103; source: backend_report.html</x:v>
      </x:c>
      <x:c r="M79" s="93" t="n">
        <x:v>46323.253113425926</x:v>
      </x:c>
    </x:row>
    <x:row r="80" ht="31" customHeight="1">
      <x:c r="A80" s="29" t="str">
        <x:v>SKL-004</x:v>
      </x:c>
      <x:c r="B80" s="29" t="str">
        <x:v>Skills</x:v>
      </x:c>
      <x:c r="C80" s="29" t="str">
        <x:v>GET</x:v>
      </x:c>
      <x:c r="D80" s="32" t="str">
        <x:v>/api/v1/skills</x:v>
      </x:c>
      <x:c r="E80" s="32" t="str">
        <x:v>Retrieve skills using Contributor and Admin JWTs</x:v>
      </x:c>
      <x:c r="F80" s="32" t="str">
        <x:v>200; same public list</x:v>
      </x:c>
      <x:c r="G80" s="38" t="str">
        <x:v>Approved</x:v>
      </x:c>
      <x:c r="H80" s="29" t="str">
        <x:v>In scope</x:v>
      </x:c>
      <x:c r="I80" s="91" t="str">
        <x:v>Passed</x:v>
      </x:c>
      <x:c r="J80" s="92" t="str">
        <x:v>HTTP 200 / 200 / 200 (GET /api/v1/skills) • array[12]; first: customer-service, data-cleaning, data-entry • Supporting requests: POST 200, POST 200</x:v>
      </x:c>
      <x:c r="K80" s="92" t="str">
        <x:v>Passed assertions; 5 recorded HTTP exchange(s); duration 00:00:01. Response details in HTTP Evidence worksheet.</x:v>
      </x:c>
      <x:c r="L80" s="92" t="str">
        <x:v>HTTP Evidence rows 104–108; source: backend_report.html</x:v>
      </x:c>
      <x:c r="M80" s="93" t="n">
        <x:v>46323.253113425926</x:v>
      </x:c>
    </x:row>
    <x:row r="81" ht="31" customHeight="1">
      <x:c r="A81" s="29" t="str">
        <x:v>SKL-005</x:v>
      </x:c>
      <x:c r="B81" s="29" t="str">
        <x:v>Skills</x:v>
      </x:c>
      <x:c r="C81" s="29" t="str">
        <x:v>GET</x:v>
      </x:c>
      <x:c r="D81" s="32" t="str">
        <x:v>/api/v1/skills</x:v>
      </x:c>
      <x:c r="E81" s="32" t="str">
        <x:v>Repeat identical skill requests</x:v>
      </x:c>
      <x:c r="F81" s="32" t="str">
        <x:v>Stable values and order when reference data unchanged</x:v>
      </x:c>
      <x:c r="G81" s="38" t="str">
        <x:v>Approved</x:v>
      </x:c>
      <x:c r="H81" s="29" t="str">
        <x:v>In scope</x:v>
      </x:c>
      <x:c r="I81" s="91" t="str">
        <x:v>Passed</x:v>
      </x:c>
      <x:c r="J81" s="92" t="str">
        <x:v>HTTP 200 / 200 / 200 (GET /api/v1/skills) • array[12]; first: customer-service, data-cleaning, data-entry</x:v>
      </x:c>
      <x:c r="K81" s="92" t="str">
        <x:v>Passed assertions; 3 recorded HTTP exchange(s); duration 239 ms. Response details in HTTP Evidence worksheet.</x:v>
      </x:c>
      <x:c r="L81" s="92" t="str">
        <x:v>HTTP Evidence rows 109–111; source: backend_report.html</x:v>
      </x:c>
      <x:c r="M81" s="93" t="n">
        <x:v>46323.253113425926</x:v>
      </x:c>
    </x:row>
    <x:row r="82" ht="31" customHeight="1">
      <x:c r="A82" s="29" t="str">
        <x:v>SKL-006</x:v>
      </x:c>
      <x:c r="B82" s="29" t="str">
        <x:v>Skills</x:v>
      </x:c>
      <x:c r="C82" s="29" t="str">
        <x:v>GET</x:v>
      </x:c>
      <x:c r="D82" s="32" t="str">
        <x:v>/api/v1/skills</x:v>
      </x:c>
      <x:c r="E82" s="32" t="str">
        <x:v>Validate skill response JSON</x:v>
      </x:c>
      <x:c r="F82" s="32" t="str">
        <x:v>Top-level JSON array of objects</x:v>
      </x:c>
      <x:c r="G82" s="38" t="str">
        <x:v>Approved</x:v>
      </x:c>
      <x:c r="H82" s="29" t="str">
        <x:v>In scope</x:v>
      </x:c>
      <x:c r="I82" s="91" t="str">
        <x:v>Passed</x:v>
      </x:c>
      <x:c r="J82" s="92" t="str">
        <x:v>HTTP 200 (GET /api/v1/skills) • array[12]; first: customer-service, data-cleaning, data-entry</x:v>
      </x:c>
      <x:c r="K82" s="92" t="str">
        <x:v>Passed assertions; 1 recorded HTTP exchange(s); duration 165 ms. Response details in HTTP Evidence worksheet.</x:v>
      </x:c>
      <x:c r="L82" s="92" t="str">
        <x:v>HTTP Evidence rows 112–112; source: backend_report.html</x:v>
      </x:c>
      <x:c r="M82" s="93" t="n">
        <x:v>46323.253113425926</x:v>
      </x:c>
    </x:row>
    <x:row r="83" ht="31" customHeight="1">
      <x:c r="A83" s="29" t="str">
        <x:v>SKL-007</x:v>
      </x:c>
      <x:c r="B83" s="29" t="str">
        <x:v>Skills</x:v>
      </x:c>
      <x:c r="C83" s="29" t="str">
        <x:v>GET</x:v>
      </x:c>
      <x:c r="D83" s="32" t="str">
        <x:v>/api/v1/skills</x:v>
      </x:c>
      <x:c r="E83" s="32" t="str">
        <x:v>Validate skill fields and types</x:v>
      </x:c>
      <x:c r="F83" s="32" t="str">
        <x:v>code and name present as nonempty strings</x:v>
      </x:c>
      <x:c r="G83" s="38" t="str">
        <x:v>Approved</x:v>
      </x:c>
      <x:c r="H83" s="29" t="str">
        <x:v>In scope</x:v>
      </x:c>
      <x:c r="I83" s="91" t="str">
        <x:v>Passed</x:v>
      </x:c>
      <x:c r="J83" s="92" t="str">
        <x:v>HTTP 200 (GET /api/v1/skills) • array[12]; first: customer-service, data-cleaning, data-entry</x:v>
      </x:c>
      <x:c r="K83" s="92" t="str">
        <x:v>Passed assertions; 1 recorded HTTP exchange(s); duration 166 ms. Response details in HTTP Evidence worksheet.</x:v>
      </x:c>
      <x:c r="L83" s="92" t="str">
        <x:v>HTTP Evidence rows 113–113; source: backend_report.html</x:v>
      </x:c>
      <x:c r="M83" s="93" t="n">
        <x:v>46323.253113425926</x:v>
      </x:c>
    </x:row>
    <x:row r="84" ht="31" customHeight="1">
      <x:c r="A84" s="29" t="str">
        <x:v>SKL-008</x:v>
      </x:c>
      <x:c r="B84" s="29" t="str">
        <x:v>Skills</x:v>
      </x:c>
      <x:c r="C84" s="29" t="str">
        <x:v>GET</x:v>
      </x:c>
      <x:c r="D84" s="32" t="str">
        <x:v>/api/v1/skills</x:v>
      </x:c>
      <x:c r="E84" s="32" t="str">
        <x:v>Verify alphabetical ordering</x:v>
      </x:c>
      <x:c r="F84" s="32" t="str">
        <x:v>Skill names ascending</x:v>
      </x:c>
      <x:c r="G84" s="38" t="str">
        <x:v>Approved</x:v>
      </x:c>
      <x:c r="H84" s="29" t="str">
        <x:v>In scope</x:v>
      </x:c>
      <x:c r="I84" s="91" t="str">
        <x:v>Passed</x:v>
      </x:c>
      <x:c r="J84" s="92" t="str">
        <x:v>HTTP 200 (GET /api/v1/skills) • array[12]; first: customer-service, data-cleaning, data-entry</x:v>
      </x:c>
      <x:c r="K84" s="92" t="str">
        <x:v>Passed assertions; 1 recorded HTTP exchange(s); duration 162 ms. Response details in HTTP Evidence worksheet.</x:v>
      </x:c>
      <x:c r="L84" s="92" t="str">
        <x:v>HTTP Evidence rows 114–114; source: backend_report.html</x:v>
      </x:c>
      <x:c r="M84" s="93" t="n">
        <x:v>46323.253113425926</x:v>
      </x:c>
    </x:row>
    <x:row r="85" ht="31" customHeight="1">
      <x:c r="A85" s="29" t="str">
        <x:v>SKL-009</x:v>
      </x:c>
      <x:c r="B85" s="29" t="str">
        <x:v>Skills</x:v>
      </x:c>
      <x:c r="C85" s="29" t="str">
        <x:v>GET</x:v>
      </x:c>
      <x:c r="D85" s="32" t="str">
        <x:v>/api/v1/skills</x:v>
      </x:c>
      <x:c r="E85" s="32" t="str">
        <x:v>Verify skill code uniqueness</x:v>
      </x:c>
      <x:c r="F85" s="32" t="str">
        <x:v>No duplicate codes</x:v>
      </x:c>
      <x:c r="G85" s="38" t="str">
        <x:v>Approved</x:v>
      </x:c>
      <x:c r="H85" s="29" t="str">
        <x:v>In scope</x:v>
      </x:c>
      <x:c r="I85" s="91" t="str">
        <x:v>Passed</x:v>
      </x:c>
      <x:c r="J85" s="92" t="str">
        <x:v>HTTP 200 (GET /api/v1/skills) • array[12]; first: customer-service, data-cleaning, data-entry</x:v>
      </x:c>
      <x:c r="K85" s="92" t="str">
        <x:v>Passed assertions; 1 recorded HTTP exchange(s); duration 142 ms. Response details in HTTP Evidence worksheet.</x:v>
      </x:c>
      <x:c r="L85" s="92" t="str">
        <x:v>HTTP Evidence rows 115–115; source: backend_report.html</x:v>
      </x:c>
      <x:c r="M85" s="93" t="n">
        <x:v>46323.253113425926</x:v>
      </x:c>
    </x:row>
    <x:row r="86" ht="31" customHeight="1">
      <x:c r="A86" s="29" t="str">
        <x:v>SKL-010</x:v>
      </x:c>
      <x:c r="B86" s="29" t="str">
        <x:v>Skills</x:v>
      </x:c>
      <x:c r="C86" s="29" t="str">
        <x:v>GET</x:v>
      </x:c>
      <x:c r="D86" s="32" t="str">
        <x:v>/api/v1/skills</x:v>
      </x:c>
      <x:c r="E86" s="32" t="str">
        <x:v>Verify complete standard seed contract</x:v>
      </x:c>
      <x:c r="F86" s="32" t="str">
        <x:v>Exactly code/name; expected 12 seeded values including Web basics (HTML/CSS)</x:v>
      </x:c>
      <x:c r="G86" s="38" t="str">
        <x:v>Approved</x:v>
      </x:c>
      <x:c r="H86" s="29" t="str">
        <x:v>In scope</x:v>
      </x:c>
      <x:c r="I86" s="91" t="str">
        <x:v>Passed</x:v>
      </x:c>
      <x:c r="J86" s="92" t="str">
        <x:v>HTTP 200 (GET /api/v1/skills) • array[12]; first: customer-service, data-cleaning, data-entry</x:v>
      </x:c>
      <x:c r="K86" s="92" t="str">
        <x:v>Passed assertions; 1 recorded HTTP exchange(s); duration 140 ms. Response details in HTTP Evidence worksheet.</x:v>
      </x:c>
      <x:c r="L86" s="92" t="str">
        <x:v>HTTP Evidence rows 116–116; source: backend_report.html</x:v>
      </x:c>
      <x:c r="M86" s="93" t="n">
        <x:v>46323.253113425926</x:v>
      </x:c>
    </x:row>
    <x:row r="87" ht="31" customHeight="1">
      <x:c r="A87" s="29" t="str">
        <x:v>OPP-LIST-001</x:v>
      </x:c>
      <x:c r="B87" s="29" t="str">
        <x:v>Browse Opportunities</x:v>
      </x:c>
      <x:c r="C87" s="29" t="str">
        <x:v>GET</x:v>
      </x:c>
      <x:c r="D87" s="32" t="str">
        <x:v>/api/v1/opportunities</x:v>
      </x:c>
      <x:c r="E87" s="32" t="str">
        <x:v>Browse with no query parameters</x:v>
      </x:c>
      <x:c r="F87" s="32" t="str">
        <x:v>200; paginated listing</x:v>
      </x:c>
      <x:c r="G87" s="38" t="str">
        <x:v>Approved</x:v>
      </x:c>
      <x:c r="H87" s="29" t="str">
        <x:v>In scope</x:v>
      </x:c>
      <x:c r="I87" s="91" t="str">
        <x:v>Passed</x:v>
      </x:c>
      <x:c r="J87" s="92" t="str">
        <x:v>HTTP 200 (GET /api/v1/opportunities) • {"total":11,"limit":20,"offset":0,"items_count":11,"first_item_id":2}</x:v>
      </x:c>
      <x:c r="K87" s="92" t="str">
        <x:v>Passed assertions; 1 recorded HTTP exchange(s); duration 167 ms. Response details in HTTP Evidence worksheet.</x:v>
      </x:c>
      <x:c r="L87" s="92" t="str">
        <x:v>HTTP Evidence rows 117–117; source: backend_report.html</x:v>
      </x:c>
      <x:c r="M87" s="93" t="n">
        <x:v>46323.253113425926</x:v>
      </x:c>
    </x:row>
    <x:row r="88" ht="31" customHeight="1">
      <x:c r="A88" s="29" t="str">
        <x:v>OPP-LIST-002</x:v>
      </x:c>
      <x:c r="B88" s="29" t="str">
        <x:v>Browse Opportunities</x:v>
      </x:c>
      <x:c r="C88" s="29" t="str">
        <x:v>GET</x:v>
      </x:c>
      <x:c r="D88" s="32" t="str">
        <x:v>/api/v1/opportunities</x:v>
      </x:c>
      <x:c r="E88" s="32" t="str">
        <x:v>Browse without authentication</x:v>
      </x:c>
      <x:c r="F88" s="32" t="str">
        <x:v>200; public access</x:v>
      </x:c>
      <x:c r="G88" s="38" t="str">
        <x:v>Approved</x:v>
      </x:c>
      <x:c r="H88" s="29" t="str">
        <x:v>In scope</x:v>
      </x:c>
      <x:c r="I88" s="91" t="str">
        <x:v>Passed</x:v>
      </x:c>
      <x:c r="J88" s="92" t="str">
        <x:v>HTTP 200 (GET /api/v1/opportunities) • {"total":11,"limit":20,"offset":0,"items_count":11,"first_item_id":2}</x:v>
      </x:c>
      <x:c r="K88" s="92" t="str">
        <x:v>Passed assertions; 1 recorded HTTP exchange(s); duration 209 ms. Response details in HTTP Evidence worksheet.</x:v>
      </x:c>
      <x:c r="L88" s="92" t="str">
        <x:v>HTTP Evidence rows 118–118; source: backend_report.html</x:v>
      </x:c>
      <x:c r="M88" s="93" t="n">
        <x:v>46323.253113425926</x:v>
      </x:c>
    </x:row>
    <x:row r="89" ht="31" customHeight="1">
      <x:c r="A89" s="29" t="str">
        <x:v>OPP-LIST-003</x:v>
      </x:c>
      <x:c r="B89" s="29" t="str">
        <x:v>Browse Opportunities</x:v>
      </x:c>
      <x:c r="C89" s="29" t="str">
        <x:v>GET</x:v>
      </x:c>
      <x:c r="D89" s="32" t="str">
        <x:v>/api/v1/opportunities</x:v>
      </x:c>
      <x:c r="E89" s="32" t="str">
        <x:v>Browse with Creator, Contributor, Admin JWTs</x:v>
      </x:c>
      <x:c r="F89" s="32" t="str">
        <x:v>200; same public items</x:v>
      </x:c>
      <x:c r="G89" s="38" t="str">
        <x:v>Approved</x:v>
      </x:c>
      <x:c r="H89" s="29" t="str">
        <x:v>In scope</x:v>
      </x:c>
      <x:c r="I89" s="91" t="str">
        <x:v>Passed</x:v>
      </x:c>
      <x:c r="J89" s="92" t="str">
        <x:v>HTTP 200 / 200 / 200 / 200 (GET /api/v1/opportunities) • {"total":11,"limit":20,"offset":0,"items_count":11,"first_item_id":2} • Supporting requests: POST 200, POST 200, POST 200</x:v>
      </x:c>
      <x:c r="K89" s="92" t="str">
        <x:v>Passed assertions; 7 recorded HTTP exchange(s); duration 00:00:01. Response details in HTTP Evidence worksheet.</x:v>
      </x:c>
      <x:c r="L89" s="92" t="str">
        <x:v>HTTP Evidence rows 119–125; source: backend_report.html</x:v>
      </x:c>
      <x:c r="M89" s="93" t="n">
        <x:v>46323.253113425926</x:v>
      </x:c>
    </x:row>
    <x:row r="90" ht="31" customHeight="1">
      <x:c r="A90" s="29" t="str">
        <x:v>OPP-LIST-004</x:v>
      </x:c>
      <x:c r="B90" s="29" t="str">
        <x:v>Browse Opportunities</x:v>
      </x:c>
      <x:c r="C90" s="29" t="str">
        <x:v>GET</x:v>
      </x:c>
      <x:c r="D90" s="32" t="str">
        <x:v>/api/v1/opportunities</x:v>
      </x:c>
      <x:c r="E90" s="32" t="str">
        <x:v>Public Browse visibility rule</x:v>
      </x:c>
      <x:c r="F90" s="32" t="str">
        <x:v>Only open opportunities visible</x:v>
      </x:c>
      <x:c r="G90" s="38" t="str">
        <x:v>Approved</x:v>
      </x:c>
      <x:c r="H90" s="29" t="str">
        <x:v>In scope</x:v>
      </x:c>
      <x:c r="I90" s="91" t="str">
        <x:v>Passed</x:v>
      </x:c>
      <x:c r="J90" s="92" t="str">
        <x:v>HTTP 200 (GET /api/v1/opportunities) • {"total":11,"limit":100,"offset":0,"items_count":11,"first_item_id":2}</x:v>
      </x:c>
      <x:c r="K90" s="92" t="str">
        <x:v>Passed assertions; 1 recorded HTTP exchange(s); duration 185 ms. Response details in HTTP Evidence worksheet.</x:v>
      </x:c>
      <x:c r="L90" s="92" t="str">
        <x:v>HTTP Evidence rows 126–126; source: backend_report.html</x:v>
      </x:c>
      <x:c r="M90" s="93" t="n">
        <x:v>46323.253113425926</x:v>
      </x:c>
    </x:row>
    <x:row r="91" ht="31" customHeight="1">
      <x:c r="A91" s="29" t="str">
        <x:v>OPP-LIST-005</x:v>
      </x:c>
      <x:c r="B91" s="29" t="str">
        <x:v>Browse Opportunities</x:v>
      </x:c>
      <x:c r="C91" s="29" t="str">
        <x:v>GET</x:v>
      </x:c>
      <x:c r="D91" s="32" t="str">
        <x:v>/api/v1/opportunities</x:v>
      </x:c>
      <x:c r="E91" s="32" t="str">
        <x:v>Exclude expired application deadlines</x:v>
      </x:c>
      <x:c r="F91" s="32" t="str">
        <x:v>Open opportunities past deadline excluded</x:v>
      </x:c>
      <x:c r="G91" s="38" t="str">
        <x:v>Approved</x:v>
      </x:c>
      <x:c r="H91" s="29" t="str">
        <x:v>In scope</x:v>
      </x:c>
      <x:c r="I91" s="91" t="str">
        <x:v>Passed</x:v>
      </x:c>
      <x:c r="J91" s="92" t="str">
        <x:v>HTTP 200 (GET /api/v1/opportunities) • {"total":11,"limit":100,"offset":0,"items_count":11,"first_item_id":2}</x:v>
      </x:c>
      <x:c r="K91" s="92" t="str">
        <x:v>Passed assertions; 1 recorded HTTP exchange(s); duration 201 ms. Response details in HTTP Evidence worksheet.</x:v>
      </x:c>
      <x:c r="L91" s="92" t="str">
        <x:v>HTTP Evidence rows 127–127; source: backend_report.html</x:v>
      </x:c>
      <x:c r="M91" s="93" t="n">
        <x:v>46323.253113425926</x:v>
      </x:c>
    </x:row>
    <x:row r="92" ht="31" customHeight="1">
      <x:c r="A92" s="29" t="str">
        <x:v>OPP-LIST-006</x:v>
      </x:c>
      <x:c r="B92" s="29" t="str">
        <x:v>Browse Opportunities</x:v>
      </x:c>
      <x:c r="C92" s="29" t="str">
        <x:v>GET</x:v>
      </x:c>
      <x:c r="D92" s="32" t="str">
        <x:v>/api/v1/opportunities</x:v>
      </x:c>
      <x:c r="E92" s="32" t="str">
        <x:v>Validate paginated response contract</x:v>
      </x:c>
      <x:c r="F92" s="32" t="str">
        <x:v>items/total/limit/offset types; item schema valid</x:v>
      </x:c>
      <x:c r="G92" s="38" t="str">
        <x:v>Approved</x:v>
      </x:c>
      <x:c r="H92" s="29" t="str">
        <x:v>In scope</x:v>
      </x:c>
      <x:c r="I92" s="91" t="str">
        <x:v>Passed</x:v>
      </x:c>
      <x:c r="J92" s="92" t="str">
        <x:v>HTTP 200 (GET /api/v1/opportunities) • {"total":11,"limit":20,"offset":0,"items_count":11,"first_item_id":2}</x:v>
      </x:c>
      <x:c r="K92" s="92" t="str">
        <x:v>Passed assertions; 1 recorded HTTP exchange(s); duration 163 ms. Response details in HTTP Evidence worksheet.</x:v>
      </x:c>
      <x:c r="L92" s="92" t="str">
        <x:v>HTTP Evidence rows 128–128; source: backend_report.html</x:v>
      </x:c>
      <x:c r="M92" s="93" t="n">
        <x:v>46323.253113425926</x:v>
      </x:c>
    </x:row>
    <x:row r="93" ht="31" customHeight="1">
      <x:c r="A93" s="29" t="str">
        <x:v>OPP-LIST-007</x:v>
      </x:c>
      <x:c r="B93" s="29" t="str">
        <x:v>Browse Opportunities</x:v>
      </x:c>
      <x:c r="C93" s="29" t="str">
        <x:v>GET</x:v>
      </x:c>
      <x:c r="D93" s="32" t="str">
        <x:v>/api/v1/opportunities</x:v>
      </x:c>
      <x:c r="E93" s="32" t="str">
        <x:v>Search title word</x:v>
      </x:c>
      <x:c r="F93" s="32" t="str">
        <x:v>Matching opportunities returned</x:v>
      </x:c>
      <x:c r="G93" s="38" t="str">
        <x:v>Approved</x:v>
      </x:c>
      <x:c r="H93" s="29" t="str">
        <x:v>In scope</x:v>
      </x:c>
      <x:c r="I93" s="91" t="str">
        <x:v>Passed</x:v>
      </x:c>
      <x:c r="J93" s="92" t="str">
        <x:v>HTTP 200 (GET /api/v1/opportunities) • {"total":1,"limit":20,"offset":0,"items_count":1,"first_item_id":2}</x:v>
      </x:c>
      <x:c r="K93" s="92" t="str">
        <x:v>Passed assertions; 1 recorded HTTP exchange(s); duration 172 ms. Response details in HTTP Evidence worksheet.</x:v>
      </x:c>
      <x:c r="L93" s="92" t="str">
        <x:v>HTTP Evidence rows 129–129; source: backend_report.html</x:v>
      </x:c>
      <x:c r="M93" s="93" t="n">
        <x:v>46323.253113425926</x:v>
      </x:c>
    </x:row>
    <x:row r="94" ht="31" customHeight="1">
      <x:c r="A94" s="29" t="str">
        <x:v>OPP-LIST-008</x:v>
      </x:c>
      <x:c r="B94" s="29" t="str">
        <x:v>Browse Opportunities</x:v>
      </x:c>
      <x:c r="C94" s="29" t="str">
        <x:v>GET</x:v>
      </x:c>
      <x:c r="D94" s="32" t="str">
        <x:v>/api/v1/opportunities</x:v>
      </x:c>
      <x:c r="E94" s="32" t="str">
        <x:v>Search description text</x:v>
      </x:c>
      <x:c r="F94" s="32" t="str">
        <x:v>Matching opportunities returned</x:v>
      </x:c>
      <x:c r="G94" s="38" t="str">
        <x:v>Approved</x:v>
      </x:c>
      <x:c r="H94" s="29" t="str">
        <x:v>In scope</x:v>
      </x:c>
      <x:c r="I94" s="91" t="str">
        <x:v>Passed</x:v>
      </x:c>
      <x:c r="J94" s="92" t="str">
        <x:v>HTTP 200 (GET /api/v1/opportunities) • {"total":1,"limit":20,"offset":0,"items_count":1,"first_item_id":1}</x:v>
      </x:c>
      <x:c r="K94" s="92" t="str">
        <x:v>Passed assertions; 1 recorded HTTP exchange(s); duration 168 ms. Response details in HTTP Evidence worksheet.</x:v>
      </x:c>
      <x:c r="L94" s="92" t="str">
        <x:v>HTTP Evidence rows 130–130; source: backend_report.html</x:v>
      </x:c>
      <x:c r="M94" s="93" t="n">
        <x:v>46323.253113425926</x:v>
      </x:c>
    </x:row>
    <x:row r="95" ht="31" customHeight="1">
      <x:c r="A95" s="29" t="str">
        <x:v>OPP-LIST-009</x:v>
      </x:c>
      <x:c r="B95" s="29" t="str">
        <x:v>Browse Opportunities</x:v>
      </x:c>
      <x:c r="C95" s="29" t="str">
        <x:v>GET</x:v>
      </x:c>
      <x:c r="D95" s="32" t="str">
        <x:v>/api/v1/opportunities</x:v>
      </x:c>
      <x:c r="E95" s="32" t="str">
        <x:v>Search organization name</x:v>
      </x:c>
      <x:c r="F95" s="32" t="str">
        <x:v>Matching opportunities returned</x:v>
      </x:c>
      <x:c r="G95" s="38" t="str">
        <x:v>Approved</x:v>
      </x:c>
      <x:c r="H95" s="29" t="str">
        <x:v>In scope</x:v>
      </x:c>
      <x:c r="I95" s="91" t="str">
        <x:v>Passed</x:v>
      </x:c>
      <x:c r="J95" s="92" t="str">
        <x:v>HTTP 200 (GET /api/v1/opportunities) • {"total":3,"limit":20,"offset":0,"items_count":3,"first_item_id":5}</x:v>
      </x:c>
      <x:c r="K95" s="92" t="str">
        <x:v>Passed assertions; 1 recorded HTTP exchange(s); duration 174 ms. Response details in HTTP Evidence worksheet.</x:v>
      </x:c>
      <x:c r="L95" s="92" t="str">
        <x:v>HTTP Evidence rows 131–131; source: backend_report.html</x:v>
      </x:c>
      <x:c r="M95" s="93" t="n">
        <x:v>46323.253113425926</x:v>
      </x:c>
    </x:row>
    <x:row r="96" ht="31" customHeight="1">
      <x:c r="A96" s="29" t="str">
        <x:v>OPP-LIST-010</x:v>
      </x:c>
      <x:c r="B96" s="29" t="str">
        <x:v>Browse Opportunities</x:v>
      </x:c>
      <x:c r="C96" s="29" t="str">
        <x:v>GET</x:v>
      </x:c>
      <x:c r="D96" s="32" t="str">
        <x:v>/api/v1/opportunities</x:v>
      </x:c>
      <x:c r="E96" s="32" t="str">
        <x:v>Case-insensitive search</x:v>
      </x:c>
      <x:c r="F96" s="32" t="str">
        <x:v>Matches independent of case</x:v>
      </x:c>
      <x:c r="G96" s="38" t="str">
        <x:v>Approved</x:v>
      </x:c>
      <x:c r="H96" s="29" t="str">
        <x:v>In scope</x:v>
      </x:c>
      <x:c r="I96" s="91" t="str">
        <x:v>Passed</x:v>
      </x:c>
      <x:c r="J96" s="92" t="str">
        <x:v>HTTP 200 / 200 / 200 (GET /api/v1/opportunities) • {"total":2,"limit":20,"offset":0,"items_count":2,"first_item_id":2}</x:v>
      </x:c>
      <x:c r="K96" s="92" t="str">
        <x:v>Passed assertions; 3 recorded HTTP exchange(s); duration 193 ms. Response details in HTTP Evidence worksheet.</x:v>
      </x:c>
      <x:c r="L96" s="92" t="str">
        <x:v>HTTP Evidence rows 132–134; source: backend_report.html</x:v>
      </x:c>
      <x:c r="M96" s="93" t="n">
        <x:v>46323.253113425926</x:v>
      </x:c>
    </x:row>
    <x:row r="97" ht="31" customHeight="1">
      <x:c r="A97" s="29" t="str">
        <x:v>OPP-LIST-011</x:v>
      </x:c>
      <x:c r="B97" s="29" t="str">
        <x:v>Browse Opportunities</x:v>
      </x:c>
      <x:c r="C97" s="29" t="str">
        <x:v>GET</x:v>
      </x:c>
      <x:c r="D97" s="32" t="str">
        <x:v>/api/v1/opportunities</x:v>
      </x:c>
      <x:c r="E97" s="32" t="str">
        <x:v>Search partial word</x:v>
      </x:c>
      <x:c r="F97" s="32" t="str">
        <x:v>Substring matches returned</x:v>
      </x:c>
      <x:c r="G97" s="38" t="str">
        <x:v>Approved</x:v>
      </x:c>
      <x:c r="H97" s="29" t="str">
        <x:v>In scope</x:v>
      </x:c>
      <x:c r="I97" s="91" t="str">
        <x:v>Passed</x:v>
      </x:c>
      <x:c r="J97" s="92" t="str">
        <x:v>HTTP 200 / 200 / 200 (GET /api/v1/opportunities) • {"total":2,"limit":20,"offset":0,"items_count":2,"first_item_id":2}</x:v>
      </x:c>
      <x:c r="K97" s="92" t="str">
        <x:v>Passed assertions; 3 recorded HTTP exchange(s); duration 213 ms. Response details in HTTP Evidence worksheet.</x:v>
      </x:c>
      <x:c r="L97" s="92" t="str">
        <x:v>HTTP Evidence rows 135–137; source: backend_report.html</x:v>
      </x:c>
      <x:c r="M97" s="93" t="n">
        <x:v>46323.253113425926</x:v>
      </x:c>
    </x:row>
    <x:row r="98" ht="31" customHeight="1">
      <x:c r="A98" s="29" t="str">
        <x:v>OPP-LIST-012</x:v>
      </x:c>
      <x:c r="B98" s="29" t="str">
        <x:v>Browse Opportunities</x:v>
      </x:c>
      <x:c r="C98" s="29" t="str">
        <x:v>GET</x:v>
      </x:c>
      <x:c r="D98" s="32" t="str">
        <x:v>/api/v1/opportunities</x:v>
      </x:c>
      <x:c r="E98" s="32" t="str">
        <x:v>Search percent sign</x:v>
      </x:c>
      <x:c r="F98" s="32" t="str">
        <x:v>Percent treated as literal, not wildcard</x:v>
      </x:c>
      <x:c r="G98" s="38" t="str">
        <x:v>Approved</x:v>
      </x:c>
      <x:c r="H98" s="29" t="str">
        <x:v>In scope</x:v>
      </x:c>
      <x:c r="I98" s="91" t="str">
        <x:v>Passed</x:v>
      </x:c>
      <x:c r="J98" s="92" t="str">
        <x:v>HTTP 200 (GET /api/v1/opportunities) • {"total":0,"limit":20,"offset":0,"items_count":0}</x:v>
      </x:c>
      <x:c r="K98" s="92" t="str">
        <x:v>Passed assertions; 1 recorded HTTP exchange(s); duration 160 ms. Response details in HTTP Evidence worksheet.</x:v>
      </x:c>
      <x:c r="L98" s="92" t="str">
        <x:v>HTTP Evidence rows 138–138; source: backend_report.html</x:v>
      </x:c>
      <x:c r="M98" s="93" t="n">
        <x:v>46323.253113425926</x:v>
      </x:c>
    </x:row>
    <x:row r="99" ht="31" customHeight="1">
      <x:c r="A99" s="29" t="str">
        <x:v>OPP-LIST-013</x:v>
      </x:c>
      <x:c r="B99" s="29" t="str">
        <x:v>Browse Opportunities</x:v>
      </x:c>
      <x:c r="C99" s="29" t="str">
        <x:v>GET</x:v>
      </x:c>
      <x:c r="D99" s="32" t="str">
        <x:v>/api/v1/opportunities</x:v>
      </x:c>
      <x:c r="E99" s="32" t="str">
        <x:v>Search underscore</x:v>
      </x:c>
      <x:c r="F99" s="32" t="str">
        <x:v>Underscore treated as literal, not wildcard</x:v>
      </x:c>
      <x:c r="G99" s="38" t="str">
        <x:v>Approved</x:v>
      </x:c>
      <x:c r="H99" s="29" t="str">
        <x:v>In scope</x:v>
      </x:c>
      <x:c r="I99" s="91" t="str">
        <x:v>Passed</x:v>
      </x:c>
      <x:c r="J99" s="92" t="str">
        <x:v>HTTP 200 (GET /api/v1/opportunities) • {"total":0,"limit":20,"offset":0,"items_count":0}</x:v>
      </x:c>
      <x:c r="K99" s="92" t="str">
        <x:v>Passed assertions; 1 recorded HTTP exchange(s); duration 167 ms. Response details in HTTP Evidence worksheet.</x:v>
      </x:c>
      <x:c r="L99" s="92" t="str">
        <x:v>HTTP Evidence rows 139–139; source: backend_report.html</x:v>
      </x:c>
      <x:c r="M99" s="93" t="n">
        <x:v>46323.253113425926</x:v>
      </x:c>
    </x:row>
    <x:row r="100" ht="31" customHeight="1">
      <x:c r="A100" s="29" t="str">
        <x:v>OPP-LIST-014</x:v>
      </x:c>
      <x:c r="B100" s="29" t="str">
        <x:v>Browse Opportunities</x:v>
      </x:c>
      <x:c r="C100" s="29" t="str">
        <x:v>GET</x:v>
      </x:c>
      <x:c r="D100" s="32" t="str">
        <x:v>/api/v1/opportunities</x:v>
      </x:c>
      <x:c r="E100" s="32" t="str">
        <x:v>Filter valid category</x:v>
      </x:c>
      <x:c r="F100" s="32" t="str">
        <x:v>Matching categories only</x:v>
      </x:c>
      <x:c r="G100" s="38" t="str">
        <x:v>Approved</x:v>
      </x:c>
      <x:c r="H100" s="29" t="str">
        <x:v>In scope</x:v>
      </x:c>
      <x:c r="I100" s="91" t="str">
        <x:v>Passed</x:v>
      </x:c>
      <x:c r="J100" s="92" t="str">
        <x:v>HTTP 200 (GET /api/v1/opportunities) • {"total":6,"limit":20,"offset":0,"items_count":6,"first_item_id":2}</x:v>
      </x:c>
      <x:c r="K100" s="92" t="str">
        <x:v>Passed assertions; 1 recorded HTTP exchange(s); duration 176 ms. Response details in HTTP Evidence worksheet.</x:v>
      </x:c>
      <x:c r="L100" s="92" t="str">
        <x:v>HTTP Evidence rows 140–140; source: backend_report.html</x:v>
      </x:c>
      <x:c r="M100" s="93" t="n">
        <x:v>46323.253113425926</x:v>
      </x:c>
    </x:row>
    <x:row r="101" ht="31" customHeight="1">
      <x:c r="A101" s="29" t="str">
        <x:v>OPP-LIST-015</x:v>
      </x:c>
      <x:c r="B101" s="29" t="str">
        <x:v>Browse Opportunities</x:v>
      </x:c>
      <x:c r="C101" s="29" t="str">
        <x:v>GET</x:v>
      </x:c>
      <x:c r="D101" s="32" t="str">
        <x:v>/api/v1/opportunities</x:v>
      </x:c>
      <x:c r="E101" s="32" t="str">
        <x:v>Filter unknown category</x:v>
      </x:c>
      <x:c r="F101" s="32" t="str">
        <x:v>200; empty result when no category matches</x:v>
      </x:c>
      <x:c r="G101" s="38" t="str">
        <x:v>Approved</x:v>
      </x:c>
      <x:c r="H101" s="29" t="str">
        <x:v>In scope</x:v>
      </x:c>
      <x:c r="I101" s="91" t="str">
        <x:v>Passed</x:v>
      </x:c>
      <x:c r="J101" s="92" t="str">
        <x:v>HTTP 200 (GET /api/v1/opportunities) • {"total":0,"limit":20,"offset":0,"items_count":0}</x:v>
      </x:c>
      <x:c r="K101" s="92" t="str">
        <x:v>Passed assertions; 1 recorded HTTP exchange(s); duration 163 ms. Response details in HTTP Evidence worksheet.</x:v>
      </x:c>
      <x:c r="L101" s="92" t="str">
        <x:v>HTTP Evidence rows 141–141; source: backend_report.html</x:v>
      </x:c>
      <x:c r="M101" s="93" t="n">
        <x:v>46323.253113425926</x:v>
      </x:c>
    </x:row>
    <x:row r="102" ht="31" customHeight="1">
      <x:c r="A102" s="29" t="str">
        <x:v>OPP-LIST-016</x:v>
      </x:c>
      <x:c r="B102" s="29" t="str">
        <x:v>Browse Opportunities</x:v>
      </x:c>
      <x:c r="C102" s="29" t="str">
        <x:v>GET</x:v>
      </x:c>
      <x:c r="D102" s="32" t="str">
        <x:v>/api/v1/opportunities</x:v>
      </x:c>
      <x:c r="E102" s="32" t="str">
        <x:v>Filter single skill</x:v>
      </x:c>
      <x:c r="F102" s="32" t="str">
        <x:v>Results include specified skill</x:v>
      </x:c>
      <x:c r="G102" s="38" t="str">
        <x:v>Approved</x:v>
      </x:c>
      <x:c r="H102" s="29" t="str">
        <x:v>In scope</x:v>
      </x:c>
      <x:c r="I102" s="91" t="str">
        <x:v>Passed</x:v>
      </x:c>
      <x:c r="J102" s="92" t="str">
        <x:v>HTTP 200 (GET /api/v1/opportunities) • {"total":2,"limit":20,"offset":0,"items_count":2,"first_item_id":2}</x:v>
      </x:c>
      <x:c r="K102" s="92" t="str">
        <x:v>Passed assertions; 1 recorded HTTP exchange(s); duration 177 ms. Response details in HTTP Evidence worksheet.</x:v>
      </x:c>
      <x:c r="L102" s="92" t="str">
        <x:v>HTTP Evidence rows 142–142; source: backend_report.html</x:v>
      </x:c>
      <x:c r="M102" s="93" t="n">
        <x:v>46323.253113425926</x:v>
      </x:c>
    </x:row>
    <x:row r="103" ht="31" customHeight="1">
      <x:c r="A103" s="29" t="str">
        <x:v>OPP-LIST-017</x:v>
      </x:c>
      <x:c r="B103" s="29" t="str">
        <x:v>Browse Opportunities</x:v>
      </x:c>
      <x:c r="C103" s="29" t="str">
        <x:v>GET</x:v>
      </x:c>
      <x:c r="D103" s="32" t="str">
        <x:v>/api/v1/opportunities</x:v>
      </x:c>
      <x:c r="E103" s="32" t="str">
        <x:v>Filter multiple skill query parameters</x:v>
      </x:c>
      <x:c r="F103" s="32" t="str">
        <x:v>Matches any requested skill (OR)</x:v>
      </x:c>
      <x:c r="G103" s="38" t="str">
        <x:v>Approved</x:v>
      </x:c>
      <x:c r="H103" s="29" t="str">
        <x:v>In scope</x:v>
      </x:c>
      <x:c r="I103" s="91" t="str">
        <x:v>Passed</x:v>
      </x:c>
      <x:c r="J103" s="92" t="str">
        <x:v>HTTP 200 (GET /api/v1/opportunities) • {"total":3,"limit":20,"offset":0,"items_count":3,"first_item_id":12}</x:v>
      </x:c>
      <x:c r="K103" s="92" t="str">
        <x:v>Passed assertions; 1 recorded HTTP exchange(s); duration 158 ms. Response details in HTTP Evidence worksheet.</x:v>
      </x:c>
      <x:c r="L103" s="92" t="str">
        <x:v>HTTP Evidence rows 143–143; source: backend_report.html</x:v>
      </x:c>
      <x:c r="M103" s="93" t="n">
        <x:v>46323.253113425926</x:v>
      </x:c>
    </x:row>
    <x:row r="104" ht="31" customHeight="1">
      <x:c r="A104" s="29" t="str">
        <x:v>OPP-LIST-018</x:v>
      </x:c>
      <x:c r="B104" s="29" t="str">
        <x:v>Browse Opportunities</x:v>
      </x:c>
      <x:c r="C104" s="29" t="str">
        <x:v>GET</x:v>
      </x:c>
      <x:c r="D104" s="32" t="str">
        <x:v>/api/v1/opportunities</x:v>
      </x:c>
      <x:c r="E104" s="32" t="str">
        <x:v>Repeat same skill code</x:v>
      </x:c>
      <x:c r="F104" s="32" t="str">
        <x:v>No duplicate opportunity items</x:v>
      </x:c>
      <x:c r="G104" s="38" t="str">
        <x:v>Approved</x:v>
      </x:c>
      <x:c r="H104" s="29" t="str">
        <x:v>In scope</x:v>
      </x:c>
      <x:c r="I104" s="91" t="str">
        <x:v>Passed</x:v>
      </x:c>
      <x:c r="J104" s="92" t="str">
        <x:v>HTTP 200 / 200 (GET /api/v1/opportunities) • {"total":2,"limit":20,"offset":0,"items_count":2,"first_item_id":12}</x:v>
      </x:c>
      <x:c r="K104" s="92" t="str">
        <x:v>Passed assertions; 2 recorded HTTP exchange(s); duration 174 ms. Response details in HTTP Evidence worksheet.</x:v>
      </x:c>
      <x:c r="L104" s="92" t="str">
        <x:v>HTTP Evidence rows 144–145; source: backend_report.html</x:v>
      </x:c>
      <x:c r="M104" s="93" t="n">
        <x:v>46323.253113425926</x:v>
      </x:c>
    </x:row>
    <x:row r="105" ht="31" customHeight="1">
      <x:c r="A105" s="29" t="str">
        <x:v>OPP-LIST-019</x:v>
      </x:c>
      <x:c r="B105" s="29" t="str">
        <x:v>Browse Opportunities</x:v>
      </x:c>
      <x:c r="C105" s="29" t="str">
        <x:v>GET</x:v>
      </x:c>
      <x:c r="D105" s="32" t="str">
        <x:v>/api/v1/opportunities</x:v>
      </x:c>
      <x:c r="E105" s="32" t="str">
        <x:v>Filter unknown skill</x:v>
      </x:c>
      <x:c r="F105" s="32" t="str">
        <x:v>200; empty results when no match</x:v>
      </x:c>
      <x:c r="G105" s="38" t="str">
        <x:v>Approved</x:v>
      </x:c>
      <x:c r="H105" s="29" t="str">
        <x:v>In scope</x:v>
      </x:c>
      <x:c r="I105" s="91" t="str">
        <x:v>Passed</x:v>
      </x:c>
      <x:c r="J105" s="92" t="str">
        <x:v>HTTP 200 (GET /api/v1/opportunities) • {"total":0,"limit":20,"offset":0,"items_count":0}</x:v>
      </x:c>
      <x:c r="K105" s="92" t="str">
        <x:v>Passed assertions; 1 recorded HTTP exchange(s); duration 155 ms. Response details in HTTP Evidence worksheet.</x:v>
      </x:c>
      <x:c r="L105" s="92" t="str">
        <x:v>HTTP Evidence rows 146–146; source: backend_report.html</x:v>
      </x:c>
      <x:c r="M105" s="93" t="n">
        <x:v>46323.253113425926</x:v>
      </x:c>
    </x:row>
    <x:row r="106" ht="31" customHeight="1">
      <x:c r="A106" s="29" t="str">
        <x:v>OPP-LIST-020</x:v>
      </x:c>
      <x:c r="B106" s="29" t="str">
        <x:v>Browse Opportunities</x:v>
      </x:c>
      <x:c r="C106" s="29" t="str">
        <x:v>GET</x:v>
      </x:c>
      <x:c r="D106" s="32" t="str">
        <x:v>/api/v1/opportunities</x:v>
      </x:c>
      <x:c r="E106" s="32" t="str">
        <x:v>Filter work_mode remote</x:v>
      </x:c>
      <x:c r="F106" s="32" t="str">
        <x:v>Remote opportunities only</x:v>
      </x:c>
      <x:c r="G106" s="38" t="str">
        <x:v>Approved</x:v>
      </x:c>
      <x:c r="H106" s="29" t="str">
        <x:v>In scope</x:v>
      </x:c>
      <x:c r="I106" s="91" t="str">
        <x:v>Passed</x:v>
      </x:c>
      <x:c r="J106" s="92" t="str">
        <x:v>HTTP 200 (GET /api/v1/opportunities) • {"total":3,"limit":20,"offset":0,"items_count":3,"first_item_id":2}</x:v>
      </x:c>
      <x:c r="K106" s="92" t="str">
        <x:v>Passed assertions; 1 recorded HTTP exchange(s); duration 151 ms. Response details in HTTP Evidence worksheet.</x:v>
      </x:c>
      <x:c r="L106" s="92" t="str">
        <x:v>HTTP Evidence rows 147–147; source: backend_report.html</x:v>
      </x:c>
      <x:c r="M106" s="93" t="n">
        <x:v>46323.253113425926</x:v>
      </x:c>
    </x:row>
    <x:row r="107" ht="31" customHeight="1">
      <x:c r="A107" s="29" t="str">
        <x:v>OPP-LIST-021</x:v>
      </x:c>
      <x:c r="B107" s="29" t="str">
        <x:v>Browse Opportunities</x:v>
      </x:c>
      <x:c r="C107" s="29" t="str">
        <x:v>GET</x:v>
      </x:c>
      <x:c r="D107" s="32" t="str">
        <x:v>/api/v1/opportunities</x:v>
      </x:c>
      <x:c r="E107" s="32" t="str">
        <x:v>Filter work_mode on_site</x:v>
      </x:c>
      <x:c r="F107" s="32" t="str">
        <x:v>On-site opportunities only</x:v>
      </x:c>
      <x:c r="G107" s="38" t="str">
        <x:v>Approved</x:v>
      </x:c>
      <x:c r="H107" s="29" t="str">
        <x:v>In scope</x:v>
      </x:c>
      <x:c r="I107" s="91" t="str">
        <x:v>Passed</x:v>
      </x:c>
      <x:c r="J107" s="92" t="str">
        <x:v>HTTP 200 (GET /api/v1/opportunities) • {"total":5,"limit":20,"offset":0,"items_count":5,"first_item_id":12}</x:v>
      </x:c>
      <x:c r="K107" s="92" t="str">
        <x:v>Passed assertions; 1 recorded HTTP exchange(s); duration 177 ms. Response details in HTTP Evidence worksheet.</x:v>
      </x:c>
      <x:c r="L107" s="92" t="str">
        <x:v>HTTP Evidence rows 148–148; source: backend_report.html</x:v>
      </x:c>
      <x:c r="M107" s="93" t="n">
        <x:v>46323.253113425926</x:v>
      </x:c>
    </x:row>
    <x:row r="108" ht="31" customHeight="1">
      <x:c r="A108" s="29" t="str">
        <x:v>OPP-LIST-022</x:v>
      </x:c>
      <x:c r="B108" s="29" t="str">
        <x:v>Browse Opportunities</x:v>
      </x:c>
      <x:c r="C108" s="29" t="str">
        <x:v>GET</x:v>
      </x:c>
      <x:c r="D108" s="32" t="str">
        <x:v>/api/v1/opportunities</x:v>
      </x:c>
      <x:c r="E108" s="32" t="str">
        <x:v>Filter work_mode hybrid</x:v>
      </x:c>
      <x:c r="F108" s="32" t="str">
        <x:v>Hybrid opportunities only</x:v>
      </x:c>
      <x:c r="G108" s="38" t="str">
        <x:v>Approved</x:v>
      </x:c>
      <x:c r="H108" s="29" t="str">
        <x:v>In scope</x:v>
      </x:c>
      <x:c r="I108" s="91" t="str">
        <x:v>Passed</x:v>
      </x:c>
      <x:c r="J108" s="92" t="str">
        <x:v>HTTP 200 (GET /api/v1/opportunities) • {"total":3,"limit":20,"offset":0,"items_count":3,"first_item_id":3}</x:v>
      </x:c>
      <x:c r="K108" s="92" t="str">
        <x:v>Passed assertions; 1 recorded HTTP exchange(s); duration 202 ms. Response details in HTTP Evidence worksheet.</x:v>
      </x:c>
      <x:c r="L108" s="92" t="str">
        <x:v>HTTP Evidence rows 149–149; source: backend_report.html</x:v>
      </x:c>
      <x:c r="M108" s="93" t="n">
        <x:v>46323.253113425926</x:v>
      </x:c>
    </x:row>
    <x:row r="109" ht="31" customHeight="1">
      <x:c r="A109" s="29" t="str">
        <x:v>OPP-LIST-023</x:v>
      </x:c>
      <x:c r="B109" s="29" t="str">
        <x:v>Browse Opportunities</x:v>
      </x:c>
      <x:c r="C109" s="29" t="str">
        <x:v>GET</x:v>
      </x:c>
      <x:c r="D109" s="32" t="str">
        <x:v>/api/v1/opportunities</x:v>
      </x:c>
      <x:c r="E109" s="32" t="str">
        <x:v>Filter paid/stipend/unpaid compensation types</x:v>
      </x:c>
      <x:c r="F109" s="32" t="str">
        <x:v>Each variation returns matching compensation type only</x:v>
      </x:c>
      <x:c r="G109" s="38" t="str">
        <x:v>Approved</x:v>
      </x:c>
      <x:c r="H109" s="29" t="str">
        <x:v>In scope</x:v>
      </x:c>
      <x:c r="I109" s="91" t="str">
        <x:v>Passed</x:v>
      </x:c>
      <x:c r="J109" s="92" t="str">
        <x:v>HTTP 200 / 200 / 200 (GET /api/v1/opportunities) • {"total":3,"limit":20,"offset":0,"items_count":3,"first_item_id":5}</x:v>
      </x:c>
      <x:c r="K109" s="92" t="str">
        <x:v>Passed assertions; 3 recorded HTTP exchange(s); duration 235 ms. Response details in HTTP Evidence worksheet.</x:v>
      </x:c>
      <x:c r="L109" s="92" t="str">
        <x:v>HTTP Evidence rows 150–152; source: backend_report.html</x:v>
      </x:c>
      <x:c r="M109" s="93" t="n">
        <x:v>46323.253113425926</x:v>
      </x:c>
    </x:row>
    <x:row r="110" ht="31" customHeight="1">
      <x:c r="A110" s="29" t="str">
        <x:v>OPP-LIST-024</x:v>
      </x:c>
      <x:c r="B110" s="29" t="str">
        <x:v>Browse Opportunities</x:v>
      </x:c>
      <x:c r="C110" s="29" t="str">
        <x:v>GET</x:v>
      </x:c>
      <x:c r="D110" s="32" t="str">
        <x:v>/api/v1/opportunities</x:v>
      </x:c>
      <x:c r="E110" s="32" t="str">
        <x:v>Filter valid organization_id</x:v>
      </x:c>
      <x:c r="F110" s="32" t="str">
        <x:v>Correct organization only</x:v>
      </x:c>
      <x:c r="G110" s="38" t="str">
        <x:v>Approved</x:v>
      </x:c>
      <x:c r="H110" s="29" t="str">
        <x:v>In scope</x:v>
      </x:c>
      <x:c r="I110" s="91" t="str">
        <x:v>Passed</x:v>
      </x:c>
      <x:c r="J110" s="92" t="str">
        <x:v>HTTP 200 (GET /api/v1/opportunities) • {"total":4,"limit":20,"offset":0,"items_count":4,"first_item_id":2}</x:v>
      </x:c>
      <x:c r="K110" s="92" t="str">
        <x:v>Passed assertions; 1 recorded HTTP exchange(s); duration 175 ms. Response details in HTTP Evidence worksheet.</x:v>
      </x:c>
      <x:c r="L110" s="92" t="str">
        <x:v>HTTP Evidence rows 153–153; source: backend_report.html</x:v>
      </x:c>
      <x:c r="M110" s="93" t="n">
        <x:v>46323.253113425926</x:v>
      </x:c>
    </x:row>
    <x:row r="111" ht="31" customHeight="1">
      <x:c r="A111" s="29" t="str">
        <x:v>OPP-LIST-025</x:v>
      </x:c>
      <x:c r="B111" s="29" t="str">
        <x:v>Browse Opportunities</x:v>
      </x:c>
      <x:c r="C111" s="29" t="str">
        <x:v>GET</x:v>
      </x:c>
      <x:c r="D111" s="32" t="str">
        <x:v>/api/v1/opportunities</x:v>
      </x:c>
      <x:c r="E111" s="32" t="str">
        <x:v>Filter min_hours</x:v>
      </x:c>
      <x:c r="F111" s="32" t="str">
        <x:v>Every hours value &gt;= minimum</x:v>
      </x:c>
      <x:c r="G111" s="38" t="str">
        <x:v>Approved</x:v>
      </x:c>
      <x:c r="H111" s="29" t="str">
        <x:v>In scope</x:v>
      </x:c>
      <x:c r="I111" s="91" t="str">
        <x:v>Passed</x:v>
      </x:c>
      <x:c r="J111" s="92" t="str">
        <x:v>HTTP 200 (GET /api/v1/opportunities) • {"total":4,"limit":20,"offset":0,"items_count":4,"first_item_id":1}</x:v>
      </x:c>
      <x:c r="K111" s="92" t="str">
        <x:v>Passed assertions; 1 recorded HTTP exchange(s); duration 175 ms. Response details in HTTP Evidence worksheet.</x:v>
      </x:c>
      <x:c r="L111" s="92" t="str">
        <x:v>HTTP Evidence rows 154–154; source: backend_report.html</x:v>
      </x:c>
      <x:c r="M111" s="93" t="n">
        <x:v>46323.253113425926</x:v>
      </x:c>
    </x:row>
    <x:row r="112" ht="31" customHeight="1">
      <x:c r="A112" s="29" t="str">
        <x:v>OPP-LIST-026</x:v>
      </x:c>
      <x:c r="B112" s="29" t="str">
        <x:v>Browse Opportunities</x:v>
      </x:c>
      <x:c r="C112" s="29" t="str">
        <x:v>GET</x:v>
      </x:c>
      <x:c r="D112" s="32" t="str">
        <x:v>/api/v1/opportunities</x:v>
      </x:c>
      <x:c r="E112" s="32" t="str">
        <x:v>Filter max_hours</x:v>
      </x:c>
      <x:c r="F112" s="32" t="str">
        <x:v>Every hours value &lt;= maximum</x:v>
      </x:c>
      <x:c r="G112" s="38" t="str">
        <x:v>Approved</x:v>
      </x:c>
      <x:c r="H112" s="29" t="str">
        <x:v>In scope</x:v>
      </x:c>
      <x:c r="I112" s="91" t="str">
        <x:v>Passed</x:v>
      </x:c>
      <x:c r="J112" s="92" t="str">
        <x:v>HTTP 200 (GET /api/v1/opportunities) • {"total":6,"limit":20,"offset":0,"items_count":6,"first_item_id":2}</x:v>
      </x:c>
      <x:c r="K112" s="92" t="str">
        <x:v>Passed assertions; 1 recorded HTTP exchange(s); duration 186 ms. Response details in HTTP Evidence worksheet.</x:v>
      </x:c>
      <x:c r="L112" s="92" t="str">
        <x:v>HTTP Evidence rows 155–155; source: backend_report.html</x:v>
      </x:c>
      <x:c r="M112" s="93" t="n">
        <x:v>46323.253113425926</x:v>
      </x:c>
    </x:row>
    <x:row r="113" ht="31" customHeight="1">
      <x:c r="A113" s="29" t="str">
        <x:v>OPP-LIST-027</x:v>
      </x:c>
      <x:c r="B113" s="29" t="str">
        <x:v>Browse Opportunities</x:v>
      </x:c>
      <x:c r="C113" s="29" t="str">
        <x:v>GET</x:v>
      </x:c>
      <x:c r="D113" s="32" t="str">
        <x:v>/api/v1/opportunities</x:v>
      </x:c>
      <x:c r="E113" s="32" t="str">
        <x:v>Filter inclusive hours range</x:v>
      </x:c>
      <x:c r="F113" s="32" t="str">
        <x:v>Values within min/max range</x:v>
      </x:c>
      <x:c r="G113" s="38" t="str">
        <x:v>Approved</x:v>
      </x:c>
      <x:c r="H113" s="29" t="str">
        <x:v>In scope</x:v>
      </x:c>
      <x:c r="I113" s="91" t="str">
        <x:v>Passed</x:v>
      </x:c>
      <x:c r="J113" s="92" t="str">
        <x:v>HTTP 200 (GET /api/v1/opportunities) • {"total":3,"limit":20,"offset":0,"items_count":3,"first_item_id":1}</x:v>
      </x:c>
      <x:c r="K113" s="92" t="str">
        <x:v>Passed assertions; 1 recorded HTTP exchange(s); duration 191 ms. Response details in HTTP Evidence worksheet.</x:v>
      </x:c>
      <x:c r="L113" s="92" t="str">
        <x:v>HTTP Evidence rows 156–156; source: backend_report.html</x:v>
      </x:c>
      <x:c r="M113" s="93" t="n">
        <x:v>46323.253113425926</x:v>
      </x:c>
    </x:row>
    <x:row r="114" ht="31" customHeight="1">
      <x:c r="A114" s="29" t="str">
        <x:v>OPP-LIST-028</x:v>
      </x:c>
      <x:c r="B114" s="29" t="str">
        <x:v>Browse Opportunities</x:v>
      </x:c>
      <x:c r="C114" s="29" t="str">
        <x:v>GET</x:v>
      </x:c>
      <x:c r="D114" s="32" t="str">
        <x:v>/api/v1/opportunities</x:v>
      </x:c>
      <x:c r="E114" s="32" t="str">
        <x:v>min_hours greater than max_hours</x:v>
      </x:c>
      <x:c r="F114" s="32" t="str">
        <x:v>422 validation error</x:v>
      </x:c>
      <x:c r="G114" s="38" t="str">
        <x:v>Approved</x:v>
      </x:c>
      <x:c r="H114" s="29" t="str">
        <x:v>In scope</x:v>
      </x:c>
      <x:c r="I114" s="91" t="str">
        <x:v>Passed</x:v>
      </x:c>
      <x:c r="J114" s="92" t="str">
        <x:v>HTTP 422 (GET /api/v1/opportunities) • {"error":{"code":"VALIDATION_ERROR","message":"Request validation failed"}}</x:v>
      </x:c>
      <x:c r="K114" s="92" t="str">
        <x:v>Passed assertions; 1 recorded HTTP exchange(s); duration 182 ms. Response details in HTTP Evidence worksheet.</x:v>
      </x:c>
      <x:c r="L114" s="92" t="str">
        <x:v>HTTP Evidence rows 157–157; source: backend_report.html</x:v>
      </x:c>
      <x:c r="M114" s="93" t="n">
        <x:v>46323.253113425926</x:v>
      </x:c>
    </x:row>
    <x:row r="115" ht="31" customHeight="1">
      <x:c r="A115" s="29" t="str">
        <x:v>OPP-LIST-029</x:v>
      </x:c>
      <x:c r="B115" s="29" t="str">
        <x:v>Browse Opportunities</x:v>
      </x:c>
      <x:c r="C115" s="29" t="str">
        <x:v>GET</x:v>
      </x:c>
      <x:c r="D115" s="32" t="str">
        <x:v>/api/v1/opportunities</x:v>
      </x:c>
      <x:c r="E115" s="32" t="str">
        <x:v>Filter deadline_before</x:v>
      </x:c>
      <x:c r="F115" s="32" t="str">
        <x:v>Deadline strictly earlier than supplied instant</x:v>
      </x:c>
      <x:c r="G115" s="38" t="str">
        <x:v>Approved</x:v>
      </x:c>
      <x:c r="H115" s="29" t="str">
        <x:v>In scope</x:v>
      </x:c>
      <x:c r="I115" s="91" t="str">
        <x:v>Passed</x:v>
      </x:c>
      <x:c r="J115" s="92" t="str">
        <x:v>HTTP 200 (GET /api/v1/opportunities) • {"total":3,"limit":20,"offset":0,"items_count":3,"first_item_id":2}</x:v>
      </x:c>
      <x:c r="K115" s="92" t="str">
        <x:v>Passed assertions; 1 recorded HTTP exchange(s); duration 157 ms. Response details in HTTP Evidence worksheet.</x:v>
      </x:c>
      <x:c r="L115" s="92" t="str">
        <x:v>HTTP Evidence rows 158–158; source: backend_report.html</x:v>
      </x:c>
      <x:c r="M115" s="93" t="n">
        <x:v>46323.253113425926</x:v>
      </x:c>
    </x:row>
    <x:row r="116" ht="31" customHeight="1">
      <x:c r="A116" s="29" t="str">
        <x:v>OPP-LIST-030</x:v>
      </x:c>
      <x:c r="B116" s="29" t="str">
        <x:v>Browse Opportunities</x:v>
      </x:c>
      <x:c r="C116" s="29" t="str">
        <x:v>GET</x:v>
      </x:c>
      <x:c r="D116" s="32" t="str">
        <x:v>/api/v1/opportunities</x:v>
      </x:c>
      <x:c r="E116" s="32" t="str">
        <x:v>Equivalent timezone-aware deadline filters</x:v>
      </x:c>
      <x:c r="F116" s="32" t="str">
        <x:v>Same results for equivalent instants</x:v>
      </x:c>
      <x:c r="G116" s="38" t="str">
        <x:v>Approved</x:v>
      </x:c>
      <x:c r="H116" s="29" t="str">
        <x:v>In scope</x:v>
      </x:c>
      <x:c r="I116" s="91" t="str">
        <x:v>Passed</x:v>
      </x:c>
      <x:c r="J116" s="92" t="str">
        <x:v>HTTP 200 / 200 (GET /api/v1/opportunities) • {"total":3,"limit":20,"offset":0,"items_count":3,"first_item_id":2}</x:v>
      </x:c>
      <x:c r="K116" s="92" t="str">
        <x:v>Passed assertions; 2 recorded HTTP exchange(s); duration 207 ms. Response details in HTTP Evidence worksheet.</x:v>
      </x:c>
      <x:c r="L116" s="92" t="str">
        <x:v>HTTP Evidence rows 159–160; source: backend_report.html</x:v>
      </x:c>
      <x:c r="M116" s="93" t="n">
        <x:v>46323.253113425926</x:v>
      </x:c>
    </x:row>
    <x:row r="117" ht="31" customHeight="1">
      <x:c r="A117" s="29" t="str">
        <x:v>OPP-LIST-031</x:v>
      </x:c>
      <x:c r="B117" s="29" t="str">
        <x:v>Browse Opportunities</x:v>
      </x:c>
      <x:c r="C117" s="29" t="str">
        <x:v>GET</x:v>
      </x:c>
      <x:c r="D117" s="32" t="str">
        <x:v>/api/v1/opportunities</x:v>
      </x:c>
      <x:c r="E117" s="32" t="str">
        <x:v>Filters yield no matches</x:v>
      </x:c>
      <x:c r="F117" s="32" t="str">
        <x:v>200; items empty and total zero</x:v>
      </x:c>
      <x:c r="G117" s="38" t="str">
        <x:v>Approved</x:v>
      </x:c>
      <x:c r="H117" s="29" t="str">
        <x:v>In scope</x:v>
      </x:c>
      <x:c r="I117" s="91" t="str">
        <x:v>Passed</x:v>
      </x:c>
      <x:c r="J117" s="92" t="str">
        <x:v>HTTP 200 (GET /api/v1/opportunities) • {"total":0,"limit":1,"offset":0,"items_count":0}</x:v>
      </x:c>
      <x:c r="K117" s="92" t="str">
        <x:v>Passed assertions; 1 recorded HTTP exchange(s); duration 224 ms. Response details in HTTP Evidence worksheet.</x:v>
      </x:c>
      <x:c r="L117" s="92" t="str">
        <x:v>HTTP Evidence rows 161–161; source: backend_report.html</x:v>
      </x:c>
      <x:c r="M117" s="93" t="n">
        <x:v>46323.253113425926</x:v>
      </x:c>
    </x:row>
    <x:row r="118" ht="31" customHeight="1">
      <x:c r="A118" s="29" t="str">
        <x:v>OPP-LIST-032</x:v>
      </x:c>
      <x:c r="B118" s="29" t="str">
        <x:v>Browse Opportunities</x:v>
      </x:c>
      <x:c r="C118" s="29" t="str">
        <x:v>GET</x:v>
      </x:c>
      <x:c r="D118" s="32" t="str">
        <x:v>/api/v1/opportunities</x:v>
      </x:c>
      <x:c r="E118" s="32" t="str">
        <x:v>Sort deadline ascending</x:v>
      </x:c>
      <x:c r="F118" s="32" t="str">
        <x:v>Earliest deadline first</x:v>
      </x:c>
      <x:c r="G118" s="38" t="str">
        <x:v>Approved</x:v>
      </x:c>
      <x:c r="H118" s="29" t="str">
        <x:v>In scope</x:v>
      </x:c>
      <x:c r="I118" s="91" t="str">
        <x:v>Passed</x:v>
      </x:c>
      <x:c r="J118" s="92" t="str">
        <x:v>HTTP 200 (GET /api/v1/opportunities) • {"total":11,"limit":100,"offset":0,"items_count":11,"first_item_id":2}</x:v>
      </x:c>
      <x:c r="K118" s="92" t="str">
        <x:v>Passed assertions; 1 recorded HTTP exchange(s); duration 171 ms. Response details in HTTP Evidence worksheet.</x:v>
      </x:c>
      <x:c r="L118" s="92" t="str">
        <x:v>HTTP Evidence rows 162–162; source: backend_report.html</x:v>
      </x:c>
      <x:c r="M118" s="93" t="n">
        <x:v>46323.253113425926</x:v>
      </x:c>
    </x:row>
    <x:row r="119" ht="31" customHeight="1">
      <x:c r="A119" s="29" t="str">
        <x:v>OPP-LIST-033</x:v>
      </x:c>
      <x:c r="B119" s="29" t="str">
        <x:v>Browse Opportunities</x:v>
      </x:c>
      <x:c r="C119" s="29" t="str">
        <x:v>GET</x:v>
      </x:c>
      <x:c r="D119" s="32" t="str">
        <x:v>/api/v1/opportunities</x:v>
      </x:c>
      <x:c r="E119" s="32" t="str">
        <x:v>Sort deadline descending</x:v>
      </x:c>
      <x:c r="F119" s="32" t="str">
        <x:v>Latest deadline first</x:v>
      </x:c>
      <x:c r="G119" s="38" t="str">
        <x:v>Approved</x:v>
      </x:c>
      <x:c r="H119" s="29" t="str">
        <x:v>In scope</x:v>
      </x:c>
      <x:c r="I119" s="91" t="str">
        <x:v>Passed</x:v>
      </x:c>
      <x:c r="J119" s="92" t="str">
        <x:v>HTTP 200 (GET /api/v1/opportunities) • {"total":11,"limit":100,"offset":0,"items_count":11,"first_item_id":7}</x:v>
      </x:c>
      <x:c r="K119" s="92" t="str">
        <x:v>Passed assertions; 1 recorded HTTP exchange(s); duration 168 ms. Response details in HTTP Evidence worksheet.</x:v>
      </x:c>
      <x:c r="L119" s="92" t="str">
        <x:v>HTTP Evidence rows 163–163; source: backend_report.html</x:v>
      </x:c>
      <x:c r="M119" s="93" t="n">
        <x:v>46323.253113425926</x:v>
      </x:c>
    </x:row>
    <x:row r="120" ht="31" customHeight="1">
      <x:c r="A120" s="29" t="str">
        <x:v>OPP-LIST-034</x:v>
      </x:c>
      <x:c r="B120" s="29" t="str">
        <x:v>Browse Opportunities</x:v>
      </x:c>
      <x:c r="C120" s="29" t="str">
        <x:v>GET</x:v>
      </x:c>
      <x:c r="D120" s="32" t="str">
        <x:v>/api/v1/opportunities</x:v>
      </x:c>
      <x:c r="E120" s="32" t="str">
        <x:v>Sort newest</x:v>
      </x:c>
      <x:c r="F120" s="32" t="str">
        <x:v>Most recently published/created first</x:v>
      </x:c>
      <x:c r="G120" s="38" t="str">
        <x:v>Approved</x:v>
      </x:c>
      <x:c r="H120" s="29" t="str">
        <x:v>In scope</x:v>
      </x:c>
      <x:c r="I120" s="91" t="str">
        <x:v>Passed</x:v>
      </x:c>
      <x:c r="J120" s="92" t="str">
        <x:v>HTTP 200 (GET /api/v1/opportunities) • {"total":11,"limit":100,"offset":0,"items_count":11,"first_item_id":13}</x:v>
      </x:c>
      <x:c r="K120" s="92" t="str">
        <x:v>Passed assertions; 1 recorded HTTP exchange(s); duration 191 ms. Response details in HTTP Evidence worksheet.</x:v>
      </x:c>
      <x:c r="L120" s="92" t="str">
        <x:v>HTTP Evidence rows 164–164; source: backend_report.html</x:v>
      </x:c>
      <x:c r="M120" s="93" t="n">
        <x:v>46323.253113425926</x:v>
      </x:c>
    </x:row>
    <x:row r="121" ht="31" customHeight="1">
      <x:c r="A121" s="29" t="str">
        <x:v>OPP-LIST-035</x:v>
      </x:c>
      <x:c r="B121" s="29" t="str">
        <x:v>Browse Opportunities</x:v>
      </x:c>
      <x:c r="C121" s="29" t="str">
        <x:v>GET</x:v>
      </x:c>
      <x:c r="D121" s="32" t="str">
        <x:v>/api/v1/opportunities</x:v>
      </x:c>
      <x:c r="E121" s="32" t="str">
        <x:v>Sort oldest</x:v>
      </x:c>
      <x:c r="F121" s="32" t="str">
        <x:v>Oldest published/created first</x:v>
      </x:c>
      <x:c r="G121" s="38" t="str">
        <x:v>Approved</x:v>
      </x:c>
      <x:c r="H121" s="29" t="str">
        <x:v>In scope</x:v>
      </x:c>
      <x:c r="I121" s="91" t="str">
        <x:v>Passed</x:v>
      </x:c>
      <x:c r="J121" s="92" t="str">
        <x:v>HTTP 200 (GET /api/v1/opportunities) • {"total":11,"limit":100,"offset":0,"items_count":11,"first_item_id":5}</x:v>
      </x:c>
      <x:c r="K121" s="92" t="str">
        <x:v>Passed assertions; 1 recorded HTTP exchange(s); duration 183 ms. Response details in HTTP Evidence worksheet.</x:v>
      </x:c>
      <x:c r="L121" s="92" t="str">
        <x:v>HTTP Evidence rows 165–165; source: backend_report.html</x:v>
      </x:c>
      <x:c r="M121" s="93" t="n">
        <x:v>46323.253113425926</x:v>
      </x:c>
    </x:row>
    <x:row r="122" ht="31" customHeight="1">
      <x:c r="A122" s="29" t="str">
        <x:v>OPP-LIST-036</x:v>
      </x:c>
      <x:c r="B122" s="29" t="str">
        <x:v>Browse Opportunities</x:v>
      </x:c>
      <x:c r="C122" s="29" t="str">
        <x:v>GET</x:v>
      </x:c>
      <x:c r="D122" s="32" t="str">
        <x:v>/api/v1/opportunities</x:v>
      </x:c>
      <x:c r="E122" s="32" t="str">
        <x:v>Sort hours ascending</x:v>
      </x:c>
      <x:c r="F122" s="32" t="str">
        <x:v>Hours increasing</x:v>
      </x:c>
      <x:c r="G122" s="38" t="str">
        <x:v>Approved</x:v>
      </x:c>
      <x:c r="H122" s="29" t="str">
        <x:v>In scope</x:v>
      </x:c>
      <x:c r="I122" s="91" t="str">
        <x:v>Passed</x:v>
      </x:c>
      <x:c r="J122" s="92" t="str">
        <x:v>HTTP 200 (GET /api/v1/opportunities) • {"total":11,"limit":100,"offset":0,"items_count":11,"first_item_id":12}</x:v>
      </x:c>
      <x:c r="K122" s="92" t="str">
        <x:v>Passed assertions; 1 recorded HTTP exchange(s); duration 192 ms. Response details in HTTP Evidence worksheet.</x:v>
      </x:c>
      <x:c r="L122" s="92" t="str">
        <x:v>HTTP Evidence rows 166–166; source: backend_report.html</x:v>
      </x:c>
      <x:c r="M122" s="93" t="n">
        <x:v>46323.253113425926</x:v>
      </x:c>
    </x:row>
    <x:row r="123" ht="31" customHeight="1">
      <x:c r="A123" s="29" t="str">
        <x:v>OPP-LIST-037</x:v>
      </x:c>
      <x:c r="B123" s="29" t="str">
        <x:v>Browse Opportunities</x:v>
      </x:c>
      <x:c r="C123" s="29" t="str">
        <x:v>GET</x:v>
      </x:c>
      <x:c r="D123" s="32" t="str">
        <x:v>/api/v1/opportunities</x:v>
      </x:c>
      <x:c r="E123" s="32" t="str">
        <x:v>Sort hours descending</x:v>
      </x:c>
      <x:c r="F123" s="32" t="str">
        <x:v>Hours decreasing</x:v>
      </x:c>
      <x:c r="G123" s="38" t="str">
        <x:v>Approved</x:v>
      </x:c>
      <x:c r="H123" s="29" t="str">
        <x:v>In scope</x:v>
      </x:c>
      <x:c r="I123" s="91" t="str">
        <x:v>Passed</x:v>
      </x:c>
      <x:c r="J123" s="92" t="str">
        <x:v>HTTP 200 (GET /api/v1/opportunities) • {"total":11,"limit":100,"offset":0,"items_count":11,"first_item_id":6}</x:v>
      </x:c>
      <x:c r="K123" s="92" t="str">
        <x:v>Passed assertions; 1 recorded HTTP exchange(s); duration 228 ms. Response details in HTTP Evidence worksheet.</x:v>
      </x:c>
      <x:c r="L123" s="92" t="str">
        <x:v>HTTP Evidence rows 167–167; source: backend_report.html</x:v>
      </x:c>
      <x:c r="M123" s="93" t="n">
        <x:v>46323.253113425926</x:v>
      </x:c>
    </x:row>
    <x:row r="124" ht="31" customHeight="1">
      <x:c r="A124" s="29" t="str">
        <x:v>OPP-LIST-038</x:v>
      </x:c>
      <x:c r="B124" s="29" t="str">
        <x:v>Browse Opportunities</x:v>
      </x:c>
      <x:c r="C124" s="29" t="str">
        <x:v>GET</x:v>
      </x:c>
      <x:c r="D124" s="32" t="str">
        <x:v>/api/v1/opportunities</x:v>
      </x:c>
      <x:c r="E124" s="32" t="str">
        <x:v>Sort compensation ascending</x:v>
      </x:c>
      <x:c r="F124" s="32" t="str">
        <x:v>Amount increasing; null treated as zero per approved contract</x:v>
      </x:c>
      <x:c r="G124" s="38" t="str">
        <x:v>Approved</x:v>
      </x:c>
      <x:c r="H124" s="29" t="str">
        <x:v>In scope</x:v>
      </x:c>
      <x:c r="I124" s="91" t="str">
        <x:v>Passed</x:v>
      </x:c>
      <x:c r="J124" s="92" t="str">
        <x:v>HTTP 200 (GET /api/v1/opportunities) • {"total":11,"limit":100,"offset":0,"items_count":11,"first_item_id":5}</x:v>
      </x:c>
      <x:c r="K124" s="92" t="str">
        <x:v>Passed assertions; 1 recorded HTTP exchange(s); duration 176 ms. Response details in HTTP Evidence worksheet.</x:v>
      </x:c>
      <x:c r="L124" s="92" t="str">
        <x:v>HTTP Evidence rows 168–168; source: backend_report.html</x:v>
      </x:c>
      <x:c r="M124" s="93" t="n">
        <x:v>46323.253113425926</x:v>
      </x:c>
    </x:row>
    <x:row r="125" ht="31" customHeight="1">
      <x:c r="A125" s="29" t="str">
        <x:v>OPP-LIST-039</x:v>
      </x:c>
      <x:c r="B125" s="29" t="str">
        <x:v>Browse Opportunities</x:v>
      </x:c>
      <x:c r="C125" s="29" t="str">
        <x:v>GET</x:v>
      </x:c>
      <x:c r="D125" s="32" t="str">
        <x:v>/api/v1/opportunities</x:v>
      </x:c>
      <x:c r="E125" s="32" t="str">
        <x:v>Sort compensation descending</x:v>
      </x:c>
      <x:c r="F125" s="32" t="str">
        <x:v>Amount decreasing; null treated as zero per approved contract</x:v>
      </x:c>
      <x:c r="G125" s="38" t="str">
        <x:v>Approved</x:v>
      </x:c>
      <x:c r="H125" s="29" t="str">
        <x:v>In scope</x:v>
      </x:c>
      <x:c r="I125" s="91" t="str">
        <x:v>Passed</x:v>
      </x:c>
      <x:c r="J125" s="92" t="str">
        <x:v>HTTP 200 (GET /api/v1/opportunities) • {"total":11,"limit":100,"offset":0,"items_count":11,"first_item_id":9}</x:v>
      </x:c>
      <x:c r="K125" s="92" t="str">
        <x:v>Passed assertions; 1 recorded HTTP exchange(s); duration 178 ms. Response details in HTTP Evidence worksheet.</x:v>
      </x:c>
      <x:c r="L125" s="92" t="str">
        <x:v>HTTP Evidence rows 169–169; source: backend_report.html</x:v>
      </x:c>
      <x:c r="M125" s="93" t="n">
        <x:v>46323.253113425926</x:v>
      </x:c>
    </x:row>
    <x:row r="126" ht="31" customHeight="1">
      <x:c r="A126" s="29" t="str">
        <x:v>OPP-LIST-040</x:v>
      </x:c>
      <x:c r="B126" s="29" t="str">
        <x:v>Browse Opportunities</x:v>
      </x:c>
      <x:c r="C126" s="29" t="str">
        <x:v>GET</x:v>
      </x:c>
      <x:c r="D126" s="32" t="str">
        <x:v>/api/v1/opportunities</x:v>
      </x:c>
      <x:c r="E126" s="32" t="str">
        <x:v>Sort title ascending</x:v>
      </x:c>
      <x:c r="F126" s="32" t="str">
        <x:v>Title ascending</x:v>
      </x:c>
      <x:c r="G126" s="38" t="str">
        <x:v>Approved</x:v>
      </x:c>
      <x:c r="H126" s="29" t="str">
        <x:v>In scope</x:v>
      </x:c>
      <x:c r="I126" s="91" t="str">
        <x:v>Passed</x:v>
      </x:c>
      <x:c r="J126" s="92" t="str">
        <x:v>HTTP 200 (GET /api/v1/opportunities) • {"total":11,"limit":100,"offset":0,"items_count":11,"first_item_id":1}</x:v>
      </x:c>
      <x:c r="K126" s="92" t="str">
        <x:v>Passed assertions; 1 recorded HTTP exchange(s); duration 280 ms. Response details in HTTP Evidence worksheet.</x:v>
      </x:c>
      <x:c r="L126" s="92" t="str">
        <x:v>HTTP Evidence rows 170–170; source: backend_report.html</x:v>
      </x:c>
      <x:c r="M126" s="93" t="n">
        <x:v>46323.253113425926</x:v>
      </x:c>
    </x:row>
    <x:row r="127" ht="31" customHeight="1">
      <x:c r="A127" s="29" t="str">
        <x:v>OPP-LIST-041</x:v>
      </x:c>
      <x:c r="B127" s="29" t="str">
        <x:v>Browse Opportunities</x:v>
      </x:c>
      <x:c r="C127" s="29" t="str">
        <x:v>GET</x:v>
      </x:c>
      <x:c r="D127" s="32" t="str">
        <x:v>/api/v1/opportunities</x:v>
      </x:c>
      <x:c r="E127" s="32" t="str">
        <x:v>Default limit omitted</x:v>
      </x:c>
      <x:c r="F127" s="32" t="str">
        <x:v>limit=20</x:v>
      </x:c>
      <x:c r="G127" s="38" t="str">
        <x:v>Approved</x:v>
      </x:c>
      <x:c r="H127" s="29" t="str">
        <x:v>In scope</x:v>
      </x:c>
      <x:c r="I127" s="91" t="str">
        <x:v>Passed</x:v>
      </x:c>
      <x:c r="J127" s="92" t="str">
        <x:v>HTTP 200 (GET /api/v1/opportunities) • {"total":11,"limit":20,"offset":0,"items_count":11,"first_item_id":2}</x:v>
      </x:c>
      <x:c r="K127" s="92" t="str">
        <x:v>Passed assertions; 1 recorded HTTP exchange(s); duration 245 ms. Response details in HTTP Evidence worksheet.</x:v>
      </x:c>
      <x:c r="L127" s="92" t="str">
        <x:v>HTTP Evidence rows 171–171; source: backend_report.html</x:v>
      </x:c>
      <x:c r="M127" s="93" t="n">
        <x:v>46323.253113425926</x:v>
      </x:c>
    </x:row>
    <x:row r="128" ht="31" customHeight="1">
      <x:c r="A128" s="29" t="str">
        <x:v>OPP-LIST-042</x:v>
      </x:c>
      <x:c r="B128" s="29" t="str">
        <x:v>Browse Opportunities</x:v>
      </x:c>
      <x:c r="C128" s="29" t="str">
        <x:v>GET</x:v>
      </x:c>
      <x:c r="D128" s="32" t="str">
        <x:v>/api/v1/opportunities</x:v>
      </x:c>
      <x:c r="E128" s="32" t="str">
        <x:v>Default offset omitted</x:v>
      </x:c>
      <x:c r="F128" s="32" t="str">
        <x:v>offset=0</x:v>
      </x:c>
      <x:c r="G128" s="38" t="str">
        <x:v>Approved</x:v>
      </x:c>
      <x:c r="H128" s="29" t="str">
        <x:v>In scope</x:v>
      </x:c>
      <x:c r="I128" s="91" t="str">
        <x:v>Passed</x:v>
      </x:c>
      <x:c r="J128" s="92" t="str">
        <x:v>HTTP 200 (GET /api/v1/opportunities) • {"total":11,"limit":20,"offset":0,"items_count":11,"first_item_id":2}</x:v>
      </x:c>
      <x:c r="K128" s="92" t="str">
        <x:v>Passed assertions; 1 recorded HTTP exchange(s); duration 271 ms. Response details in HTTP Evidence worksheet.</x:v>
      </x:c>
      <x:c r="L128" s="92" t="str">
        <x:v>HTTP Evidence rows 172–172; source: backend_report.html</x:v>
      </x:c>
      <x:c r="M128" s="93" t="n">
        <x:v>46323.253113425926</x:v>
      </x:c>
    </x:row>
    <x:row r="129" ht="31" customHeight="1">
      <x:c r="A129" s="29" t="str">
        <x:v>OPP-LIST-043</x:v>
      </x:c>
      <x:c r="B129" s="29" t="str">
        <x:v>Browse Opportunities</x:v>
      </x:c>
      <x:c r="C129" s="29" t="str">
        <x:v>GET</x:v>
      </x:c>
      <x:c r="D129" s="32" t="str">
        <x:v>/api/v1/opportunities</x:v>
      </x:c>
      <x:c r="E129" s="32" t="str">
        <x:v>limit=1</x:v>
      </x:c>
      <x:c r="F129" s="32" t="str">
        <x:v>At most one item</x:v>
      </x:c>
      <x:c r="G129" s="38" t="str">
        <x:v>Approved</x:v>
      </x:c>
      <x:c r="H129" s="29" t="str">
        <x:v>In scope</x:v>
      </x:c>
      <x:c r="I129" s="91" t="str">
        <x:v>Passed</x:v>
      </x:c>
      <x:c r="J129" s="92" t="str">
        <x:v>HTTP 200 (GET /api/v1/opportunities) • {"total":11,"limit":1,"offset":0,"items_count":1,"first_item_id":2}</x:v>
      </x:c>
      <x:c r="K129" s="92" t="str">
        <x:v>Passed assertions; 1 recorded HTTP exchange(s); duration 297 ms. Response details in HTTP Evidence worksheet.</x:v>
      </x:c>
      <x:c r="L129" s="92" t="str">
        <x:v>HTTP Evidence rows 173–173; source: backend_report.html</x:v>
      </x:c>
      <x:c r="M129" s="93" t="n">
        <x:v>46323.253113425926</x:v>
      </x:c>
    </x:row>
    <x:row r="130" ht="31" customHeight="1">
      <x:c r="A130" s="29" t="str">
        <x:v>OPP-LIST-044</x:v>
      </x:c>
      <x:c r="B130" s="29" t="str">
        <x:v>Browse Opportunities</x:v>
      </x:c>
      <x:c r="C130" s="29" t="str">
        <x:v>GET</x:v>
      </x:c>
      <x:c r="D130" s="32" t="str">
        <x:v>/api/v1/opportunities</x:v>
      </x:c>
      <x:c r="E130" s="32" t="str">
        <x:v>limit=100</x:v>
      </x:c>
      <x:c r="F130" s="32" t="str">
        <x:v>Up to 100 items</x:v>
      </x:c>
      <x:c r="G130" s="38" t="str">
        <x:v>Approved</x:v>
      </x:c>
      <x:c r="H130" s="29" t="str">
        <x:v>In scope</x:v>
      </x:c>
      <x:c r="I130" s="91" t="str">
        <x:v>Passed</x:v>
      </x:c>
      <x:c r="J130" s="92" t="str">
        <x:v>HTTP 200 (GET /api/v1/opportunities) • {"total":11,"limit":100,"offset":0,"items_count":11,"first_item_id":2}</x:v>
      </x:c>
      <x:c r="K130" s="92" t="str">
        <x:v>Passed assertions; 1 recorded HTTP exchange(s); duration 257 ms. Response details in HTTP Evidence worksheet.</x:v>
      </x:c>
      <x:c r="L130" s="92" t="str">
        <x:v>HTTP Evidence rows 174–174; source: backend_report.html</x:v>
      </x:c>
      <x:c r="M130" s="93" t="n">
        <x:v>46323.253113425926</x:v>
      </x:c>
    </x:row>
    <x:row r="131" ht="31" customHeight="1">
      <x:c r="A131" s="29" t="str">
        <x:v>OPP-LIST-045</x:v>
      </x:c>
      <x:c r="B131" s="29" t="str">
        <x:v>Browse Opportunities</x:v>
      </x:c>
      <x:c r="C131" s="29" t="str">
        <x:v>GET</x:v>
      </x:c>
      <x:c r="D131" s="32" t="str">
        <x:v>/api/v1/opportunities</x:v>
      </x:c>
      <x:c r="E131" s="32" t="str">
        <x:v>Consecutive result pages</x:v>
      </x:c>
      <x:c r="F131" s="32" t="str">
        <x:v>No duplicate items between pages</x:v>
      </x:c>
      <x:c r="G131" s="38" t="str">
        <x:v>Approved</x:v>
      </x:c>
      <x:c r="H131" s="29" t="str">
        <x:v>In scope</x:v>
      </x:c>
      <x:c r="I131" s="91" t="str">
        <x:v>Passed</x:v>
      </x:c>
      <x:c r="J131" s="92" t="str">
        <x:v>HTTP 200 / 200 (GET /api/v1/opportunities) • {"total":11,"limit":4,"offset":4,"items_count":4,"first_item_id":9}</x:v>
      </x:c>
      <x:c r="K131" s="92" t="str">
        <x:v>Passed assertions; 2 recorded HTTP exchange(s); duration 254 ms. Response details in HTTP Evidence worksheet.</x:v>
      </x:c>
      <x:c r="L131" s="92" t="str">
        <x:v>HTTP Evidence rows 175–176; source: backend_report.html</x:v>
      </x:c>
      <x:c r="M131" s="93" t="n">
        <x:v>46323.253113425926</x:v>
      </x:c>
    </x:row>
    <x:row r="132" ht="31" customHeight="1">
      <x:c r="A132" s="29" t="str">
        <x:v>OPP-LIST-046</x:v>
      </x:c>
      <x:c r="B132" s="29" t="str">
        <x:v>Browse Opportunities</x:v>
      </x:c>
      <x:c r="C132" s="29" t="str">
        <x:v>GET</x:v>
      </x:c>
      <x:c r="D132" s="32" t="str">
        <x:v>/api/v1/opportunities</x:v>
      </x:c>
      <x:c r="E132" s="32" t="str">
        <x:v>Offset beyond result count</x:v>
      </x:c>
      <x:c r="F132" s="32" t="str">
        <x:v>200; empty items, correct total</x:v>
      </x:c>
      <x:c r="G132" s="38" t="str">
        <x:v>Approved</x:v>
      </x:c>
      <x:c r="H132" s="29" t="str">
        <x:v>In scope</x:v>
      </x:c>
      <x:c r="I132" s="91" t="str">
        <x:v>Passed</x:v>
      </x:c>
      <x:c r="J132" s="92" t="str">
        <x:v>HTTP 200 (GET /api/v1/opportunities) • {"total":11,"limit":20,"offset":999,"items_count":0}</x:v>
      </x:c>
      <x:c r="K132" s="92" t="str">
        <x:v>Passed assertions; 1 recorded HTTP exchange(s); duration 186 ms. Response details in HTTP Evidence worksheet.</x:v>
      </x:c>
      <x:c r="L132" s="92" t="str">
        <x:v>HTTP Evidence rows 177–177; source: backend_report.html</x:v>
      </x:c>
      <x:c r="M132" s="93" t="n">
        <x:v>46323.253113425926</x:v>
      </x:c>
    </x:row>
    <x:row r="133" ht="31" customHeight="1">
      <x:c r="A133" s="29" t="str">
        <x:v>OPP-LIST-047</x:v>
      </x:c>
      <x:c r="B133" s="29" t="str">
        <x:v>Browse Opportunities</x:v>
      </x:c>
      <x:c r="C133" s="29" t="str">
        <x:v>GET</x:v>
      </x:c>
      <x:c r="D133" s="32" t="str">
        <x:v>/api/v1/opportunities</x:v>
      </x:c>
      <x:c r="E133" s="32" t="str">
        <x:v>Tied sort values</x:v>
      </x:c>
      <x:c r="F133" s="32" t="str">
        <x:v>Stable tie-break by opportunity_id ascending</x:v>
      </x:c>
      <x:c r="G133" s="38" t="str">
        <x:v>Approved</x:v>
      </x:c>
      <x:c r="H133" s="29" t="str">
        <x:v>In scope</x:v>
      </x:c>
      <x:c r="I133" s="91" t="str">
        <x:v>Passed</x:v>
      </x:c>
      <x:c r="J133" s="92" t="str">
        <x:v>HTTP 200 / 200 (GET /api/v1/opportunities) • {"total":11,"limit":100,"offset":0,"items_count":11,"first_item_id":6}</x:v>
      </x:c>
      <x:c r="K133" s="92" t="str">
        <x:v>Passed assertions; 2 recorded HTTP exchange(s); duration 210 ms. Response details in HTTP Evidence worksheet.</x:v>
      </x:c>
      <x:c r="L133" s="92" t="str">
        <x:v>HTTP Evidence rows 178–179; source: backend_report.html</x:v>
      </x:c>
      <x:c r="M133" s="93" t="n">
        <x:v>46323.253113425926</x:v>
      </x:c>
    </x:row>
    <x:row r="134" ht="31" customHeight="1">
      <x:c r="A134" s="29" t="str">
        <x:v>OPP-LIST-048</x:v>
      </x:c>
      <x:c r="B134" s="29" t="str">
        <x:v>Browse Opportunities</x:v>
      </x:c>
      <x:c r="C134" s="29" t="str">
        <x:v>GET</x:v>
      </x:c>
      <x:c r="D134" s="32" t="str">
        <x:v>/api/v1/opportunities</x:v>
      </x:c>
      <x:c r="E134" s="32" t="str">
        <x:v>limit=0</x:v>
      </x:c>
      <x:c r="F134" s="32" t="str">
        <x:v>422 validation error</x:v>
      </x:c>
      <x:c r="G134" s="38" t="str">
        <x:v>Approved</x:v>
      </x:c>
      <x:c r="H134" s="29" t="str">
        <x:v>In scope</x:v>
      </x:c>
      <x:c r="I134" s="91" t="str">
        <x:v>Passed</x:v>
      </x:c>
      <x:c r="J134" s="92" t="str">
        <x:v>HTTP 422 (GET /api/v1/opportunities) • {"error":{"code":"VALIDATION_ERROR","message":"Request validation failed"}}</x:v>
      </x:c>
      <x:c r="K134" s="92" t="str">
        <x:v>Passed assertions; 1 recorded HTTP exchange(s); duration 166 ms. Response details in HTTP Evidence worksheet.</x:v>
      </x:c>
      <x:c r="L134" s="92" t="str">
        <x:v>HTTP Evidence rows 180–180; source: backend_report.html</x:v>
      </x:c>
      <x:c r="M134" s="93" t="n">
        <x:v>46323.253113425926</x:v>
      </x:c>
    </x:row>
    <x:row r="135" ht="31" customHeight="1">
      <x:c r="A135" s="29" t="str">
        <x:v>OPP-LIST-049</x:v>
      </x:c>
      <x:c r="B135" s="29" t="str">
        <x:v>Browse Opportunities</x:v>
      </x:c>
      <x:c r="C135" s="29" t="str">
        <x:v>GET</x:v>
      </x:c>
      <x:c r="D135" s="32" t="str">
        <x:v>/api/v1/opportunities</x:v>
      </x:c>
      <x:c r="E135" s="32" t="str">
        <x:v>limit=101</x:v>
      </x:c>
      <x:c r="F135" s="32" t="str">
        <x:v>422 validation error</x:v>
      </x:c>
      <x:c r="G135" s="38" t="str">
        <x:v>Approved</x:v>
      </x:c>
      <x:c r="H135" s="29" t="str">
        <x:v>In scope</x:v>
      </x:c>
      <x:c r="I135" s="91" t="str">
        <x:v>Passed</x:v>
      </x:c>
      <x:c r="J135" s="92" t="str">
        <x:v>HTTP 422 (GET /api/v1/opportunities) • {"error":{"code":"VALIDATION_ERROR","message":"Request validation failed"}}</x:v>
      </x:c>
      <x:c r="K135" s="92" t="str">
        <x:v>Passed assertions; 1 recorded HTTP exchange(s); duration 147 ms. Response details in HTTP Evidence worksheet.</x:v>
      </x:c>
      <x:c r="L135" s="92" t="str">
        <x:v>HTTP Evidence rows 181–181; source: backend_report.html</x:v>
      </x:c>
      <x:c r="M135" s="93" t="n">
        <x:v>46323.253113425926</x:v>
      </x:c>
    </x:row>
    <x:row r="136" ht="31" customHeight="1">
      <x:c r="A136" s="29" t="str">
        <x:v>OPP-LIST-050</x:v>
      </x:c>
      <x:c r="B136" s="29" t="str">
        <x:v>Browse Opportunities</x:v>
      </x:c>
      <x:c r="C136" s="29" t="str">
        <x:v>GET</x:v>
      </x:c>
      <x:c r="D136" s="32" t="str">
        <x:v>/api/v1/opportunities</x:v>
      </x:c>
      <x:c r="E136" s="32" t="str">
        <x:v>offset=-1</x:v>
      </x:c>
      <x:c r="F136" s="32" t="str">
        <x:v>422 validation error</x:v>
      </x:c>
      <x:c r="G136" s="38" t="str">
        <x:v>Approved</x:v>
      </x:c>
      <x:c r="H136" s="29" t="str">
        <x:v>In scope</x:v>
      </x:c>
      <x:c r="I136" s="91" t="str">
        <x:v>Passed</x:v>
      </x:c>
      <x:c r="J136" s="92" t="str">
        <x:v>HTTP 422 (GET /api/v1/opportunities) • {"error":{"code":"VALIDATION_ERROR","message":"Request validation failed"}}</x:v>
      </x:c>
      <x:c r="K136" s="92" t="str">
        <x:v>Passed assertions; 1 recorded HTTP exchange(s); duration 174 ms. Response details in HTTP Evidence worksheet.</x:v>
      </x:c>
      <x:c r="L136" s="92" t="str">
        <x:v>HTTP Evidence rows 182–182; source: backend_report.html</x:v>
      </x:c>
      <x:c r="M136" s="93" t="n">
        <x:v>46323.253113425926</x:v>
      </x:c>
    </x:row>
    <x:row r="137" ht="31" customHeight="1">
      <x:c r="A137" s="29" t="str">
        <x:v>OPP-LIST-051</x:v>
      </x:c>
      <x:c r="B137" s="29" t="str">
        <x:v>Browse Opportunities</x:v>
      </x:c>
      <x:c r="C137" s="29" t="str">
        <x:v>GET</x:v>
      </x:c>
      <x:c r="D137" s="32" t="str">
        <x:v>/api/v1/opportunities</x:v>
      </x:c>
      <x:c r="E137" s="32" t="str">
        <x:v>Empty q query</x:v>
      </x:c>
      <x:c r="F137" s="32" t="str">
        <x:v>422 validation error</x:v>
      </x:c>
      <x:c r="G137" s="38" t="str">
        <x:v>Approved</x:v>
      </x:c>
      <x:c r="H137" s="29" t="str">
        <x:v>In scope</x:v>
      </x:c>
      <x:c r="I137" s="91" t="str">
        <x:v>Passed</x:v>
      </x:c>
      <x:c r="J137" s="92" t="str">
        <x:v>HTTP 422 (GET /api/v1/opportunities) • {"error":{"code":"VALIDATION_ERROR","message":"Request validation failed"}}</x:v>
      </x:c>
      <x:c r="K137" s="92" t="str">
        <x:v>Passed assertions; 1 recorded HTTP exchange(s); duration 157 ms. Response details in HTTP Evidence worksheet.</x:v>
      </x:c>
      <x:c r="L137" s="92" t="str">
        <x:v>HTTP Evidence rows 183–183; source: backend_report.html</x:v>
      </x:c>
      <x:c r="M137" s="93" t="n">
        <x:v>46323.253113425926</x:v>
      </x:c>
    </x:row>
    <x:row r="138" ht="31" customHeight="1">
      <x:c r="A138" s="29" t="str">
        <x:v>OPP-LIST-052</x:v>
      </x:c>
      <x:c r="B138" s="29" t="str">
        <x:v>Browse Opportunities</x:v>
      </x:c>
      <x:c r="C138" s="29" t="str">
        <x:v>GET</x:v>
      </x:c>
      <x:c r="D138" s="32" t="str">
        <x:v>/api/v1/opportunities</x:v>
      </x:c>
      <x:c r="E138" s="32" t="str">
        <x:v>q length &gt;100</x:v>
      </x:c>
      <x:c r="F138" s="32" t="str">
        <x:v>422 validation error</x:v>
      </x:c>
      <x:c r="G138" s="38" t="str">
        <x:v>Approved</x:v>
      </x:c>
      <x:c r="H138" s="29" t="str">
        <x:v>In scope</x:v>
      </x:c>
      <x:c r="I138" s="91" t="str">
        <x:v>Passed</x:v>
      </x:c>
      <x:c r="J138" s="92" t="str">
        <x:v>HTTP 422 (GET /api/v1/opportunities) • {"error":{"code":"VALIDATION_ERROR","message":"Request validation failed"}}</x:v>
      </x:c>
      <x:c r="K138" s="92" t="str">
        <x:v>Passed assertions; 1 recorded HTTP exchange(s); duration 189 ms. Response details in HTTP Evidence worksheet.</x:v>
      </x:c>
      <x:c r="L138" s="92" t="str">
        <x:v>HTTP Evidence rows 184–184; source: backend_report.html</x:v>
      </x:c>
      <x:c r="M138" s="93" t="n">
        <x:v>46323.253113425926</x:v>
      </x:c>
    </x:row>
    <x:row r="139" ht="31" customHeight="1">
      <x:c r="A139" s="29" t="str">
        <x:v>OPP-LIST-053</x:v>
      </x:c>
      <x:c r="B139" s="29" t="str">
        <x:v>Browse Opportunities</x:v>
      </x:c>
      <x:c r="C139" s="29" t="str">
        <x:v>GET</x:v>
      </x:c>
      <x:c r="D139" s="32" t="str">
        <x:v>/api/v1/opportunities</x:v>
      </x:c>
      <x:c r="E139" s="32" t="str">
        <x:v>Unsupported work_mode</x:v>
      </x:c>
      <x:c r="F139" s="32" t="str">
        <x:v>422 validation error</x:v>
      </x:c>
      <x:c r="G139" s="38" t="str">
        <x:v>Approved</x:v>
      </x:c>
      <x:c r="H139" s="29" t="str">
        <x:v>In scope</x:v>
      </x:c>
      <x:c r="I139" s="91" t="str">
        <x:v>Passed</x:v>
      </x:c>
      <x:c r="J139" s="92" t="str">
        <x:v>HTTP 422 (GET /api/v1/opportunities) • {"error":{"code":"VALIDATION_ERROR","message":"Request validation failed"}}</x:v>
      </x:c>
      <x:c r="K139" s="92" t="str">
        <x:v>Passed assertions; 1 recorded HTTP exchange(s); duration 140 ms. Response details in HTTP Evidence worksheet.</x:v>
      </x:c>
      <x:c r="L139" s="92" t="str">
        <x:v>HTTP Evidence rows 185–185; source: backend_report.html</x:v>
      </x:c>
      <x:c r="M139" s="93" t="n">
        <x:v>46323.253113425926</x:v>
      </x:c>
    </x:row>
    <x:row r="140" ht="31" customHeight="1">
      <x:c r="A140" s="29" t="str">
        <x:v>OPP-LIST-054</x:v>
      </x:c>
      <x:c r="B140" s="29" t="str">
        <x:v>Browse Opportunities</x:v>
      </x:c>
      <x:c r="C140" s="29" t="str">
        <x:v>GET</x:v>
      </x:c>
      <x:c r="D140" s="32" t="str">
        <x:v>/api/v1/opportunities</x:v>
      </x:c>
      <x:c r="E140" s="32" t="str">
        <x:v>Unsupported compensation_type</x:v>
      </x:c>
      <x:c r="F140" s="32" t="str">
        <x:v>422 validation error</x:v>
      </x:c>
      <x:c r="G140" s="38" t="str">
        <x:v>Approved</x:v>
      </x:c>
      <x:c r="H140" s="29" t="str">
        <x:v>In scope</x:v>
      </x:c>
      <x:c r="I140" s="91" t="str">
        <x:v>Passed</x:v>
      </x:c>
      <x:c r="J140" s="92" t="str">
        <x:v>HTTP 422 (GET /api/v1/opportunities) • {"error":{"code":"VALIDATION_ERROR","message":"Request validation failed"}}</x:v>
      </x:c>
      <x:c r="K140" s="92" t="str">
        <x:v>Passed assertions; 1 recorded HTTP exchange(s); duration 153 ms. Response details in HTTP Evidence worksheet.</x:v>
      </x:c>
      <x:c r="L140" s="92" t="str">
        <x:v>HTTP Evidence rows 186–186; source: backend_report.html</x:v>
      </x:c>
      <x:c r="M140" s="93" t="n">
        <x:v>46323.253113425926</x:v>
      </x:c>
    </x:row>
    <x:row r="141" ht="31" customHeight="1">
      <x:c r="A141" s="29" t="str">
        <x:v>OPP-LIST-055</x:v>
      </x:c>
      <x:c r="B141" s="29" t="str">
        <x:v>Browse Opportunities</x:v>
      </x:c>
      <x:c r="C141" s="29" t="str">
        <x:v>GET</x:v>
      </x:c>
      <x:c r="D141" s="32" t="str">
        <x:v>/api/v1/opportunities</x:v>
      </x:c>
      <x:c r="E141" s="32" t="str">
        <x:v>Unsupported sort option</x:v>
      </x:c>
      <x:c r="F141" s="32" t="str">
        <x:v>422 validation error</x:v>
      </x:c>
      <x:c r="G141" s="38" t="str">
        <x:v>Approved</x:v>
      </x:c>
      <x:c r="H141" s="29" t="str">
        <x:v>In scope</x:v>
      </x:c>
      <x:c r="I141" s="91" t="str">
        <x:v>Passed</x:v>
      </x:c>
      <x:c r="J141" s="92" t="str">
        <x:v>HTTP 422 (GET /api/v1/opportunities) • {"error":{"code":"VALIDATION_ERROR","message":"Request validation failed"}}</x:v>
      </x:c>
      <x:c r="K141" s="92" t="str">
        <x:v>Passed assertions; 1 recorded HTTP exchange(s); duration 225 ms. Response details in HTTP Evidence worksheet.</x:v>
      </x:c>
      <x:c r="L141" s="92" t="str">
        <x:v>HTTP Evidence rows 187–187; source: backend_report.html</x:v>
      </x:c>
      <x:c r="M141" s="93" t="n">
        <x:v>46323.253113425926</x:v>
      </x:c>
    </x:row>
    <x:row r="142" ht="31" customHeight="1">
      <x:c r="A142" s="29" t="str">
        <x:v>OPP-LIST-056</x:v>
      </x:c>
      <x:c r="B142" s="29" t="str">
        <x:v>Browse Opportunities</x:v>
      </x:c>
      <x:c r="C142" s="29" t="str">
        <x:v>GET</x:v>
      </x:c>
      <x:c r="D142" s="32" t="str">
        <x:v>/api/v1/opportunities</x:v>
      </x:c>
      <x:c r="E142" s="32" t="str">
        <x:v>organization_id=0</x:v>
      </x:c>
      <x:c r="F142" s="32" t="str">
        <x:v>422 validation error</x:v>
      </x:c>
      <x:c r="G142" s="38" t="str">
        <x:v>Approved</x:v>
      </x:c>
      <x:c r="H142" s="29" t="str">
        <x:v>In scope</x:v>
      </x:c>
      <x:c r="I142" s="91" t="str">
        <x:v>Passed</x:v>
      </x:c>
      <x:c r="J142" s="92" t="str">
        <x:v>HTTP 422 (GET /api/v1/opportunities) • {"error":{"code":"VALIDATION_ERROR","message":"Request validation failed"}}</x:v>
      </x:c>
      <x:c r="K142" s="92" t="str">
        <x:v>Passed assertions; 1 recorded HTTP exchange(s); duration 156 ms. Response details in HTTP Evidence worksheet.</x:v>
      </x:c>
      <x:c r="L142" s="92" t="str">
        <x:v>HTTP Evidence rows 188–188; source: backend_report.html</x:v>
      </x:c>
      <x:c r="M142" s="93" t="n">
        <x:v>46323.253113425926</x:v>
      </x:c>
    </x:row>
    <x:row r="143" ht="31" customHeight="1">
      <x:c r="A143" s="29" t="str">
        <x:v>OPP-LIST-057</x:v>
      </x:c>
      <x:c r="B143" s="29" t="str">
        <x:v>Browse Opportunities</x:v>
      </x:c>
      <x:c r="C143" s="29" t="str">
        <x:v>GET</x:v>
      </x:c>
      <x:c r="D143" s="32" t="str">
        <x:v>/api/v1/opportunities</x:v>
      </x:c>
      <x:c r="E143" s="32" t="str">
        <x:v>deadline_before without timezone</x:v>
      </x:c>
      <x:c r="F143" s="32" t="str">
        <x:v>422 validation error</x:v>
      </x:c>
      <x:c r="G143" s="38" t="str">
        <x:v>Approved</x:v>
      </x:c>
      <x:c r="H143" s="29" t="str">
        <x:v>In scope</x:v>
      </x:c>
      <x:c r="I143" s="91" t="str">
        <x:v>Passed</x:v>
      </x:c>
      <x:c r="J143" s="92" t="str">
        <x:v>HTTP 422 (GET /api/v1/opportunities) • {"error":{"code":"VALIDATION_ERROR","message":"Request validation failed"}}</x:v>
      </x:c>
      <x:c r="K143" s="92" t="str">
        <x:v>Passed assertions; 1 recorded HTTP exchange(s); duration 154 ms. Response details in HTTP Evidence worksheet.</x:v>
      </x:c>
      <x:c r="L143" s="92" t="str">
        <x:v>HTTP Evidence rows 189–189; source: backend_report.html</x:v>
      </x:c>
      <x:c r="M143" s="93" t="n">
        <x:v>46323.253113425926</x:v>
      </x:c>
    </x:row>
    <x:row r="144" ht="31" customHeight="1">
      <x:c r="A144" s="29" t="str">
        <x:v>OPP-LIST-058</x:v>
      </x:c>
      <x:c r="B144" s="29" t="str">
        <x:v>Browse Opportunities</x:v>
      </x:c>
      <x:c r="C144" s="29" t="str">
        <x:v>GET</x:v>
      </x:c>
      <x:c r="D144" s="32" t="str">
        <x:v>/api/v1/opportunities</x:v>
      </x:c>
      <x:c r="E144" s="32" t="str">
        <x:v>Negative min_hours or max_hours</x:v>
      </x:c>
      <x:c r="F144" s="32" t="str">
        <x:v>422 for each negative-parameter variation</x:v>
      </x:c>
      <x:c r="G144" s="38" t="str">
        <x:v>Approved</x:v>
      </x:c>
      <x:c r="H144" s="29" t="str">
        <x:v>In scope</x:v>
      </x:c>
      <x:c r="I144" s="91" t="str">
        <x:v>Passed</x:v>
      </x:c>
      <x:c r="J144" s="92" t="str">
        <x:v>HTTP 422 / 422 (GET /api/v1/opportunities) • {"error":{"code":"VALIDATION_ERROR","message":"Request validation failed"}}</x:v>
      </x:c>
      <x:c r="K144" s="92" t="str">
        <x:v>Passed assertions; 2 recorded HTTP exchange(s); duration 164 ms. Response details in HTTP Evidence worksheet.</x:v>
      </x:c>
      <x:c r="L144" s="92" t="str">
        <x:v>HTTP Evidence rows 190–191; source: backend_report.html</x:v>
      </x:c>
      <x:c r="M144" s="93" t="n">
        <x:v>46323.253113425926</x:v>
      </x:c>
    </x:row>
    <x:row r="145" ht="31" customHeight="1">
      <x:c r="A145" s="29" t="str">
        <x:v>OPP-LIST-059</x:v>
      </x:c>
      <x:c r="B145" s="29" t="str">
        <x:v>Browse Opportunities</x:v>
      </x:c>
      <x:c r="C145" s="29" t="str">
        <x:v>GET</x:v>
      </x:c>
      <x:c r="D145" s="32" t="str">
        <x:v>/api/v1/opportunities</x:v>
      </x:c>
      <x:c r="E145" s="32" t="str">
        <x:v>Combine category, skill and work_mode</x:v>
      </x:c>
      <x:c r="F145" s="32" t="str">
        <x:v>Results satisfy all filter groups</x:v>
      </x:c>
      <x:c r="G145" s="38" t="str">
        <x:v>Approved</x:v>
      </x:c>
      <x:c r="H145" s="29" t="str">
        <x:v>In scope</x:v>
      </x:c>
      <x:c r="I145" s="91" t="str">
        <x:v>Passed</x:v>
      </x:c>
      <x:c r="J145" s="92" t="str">
        <x:v>HTTP 200 (GET /api/v1/opportunities) • {"total":2,"limit":20,"offset":0,"items_count":2,"first_item_id":2}</x:v>
      </x:c>
      <x:c r="K145" s="92" t="str">
        <x:v>Passed assertions; 1 recorded HTTP exchange(s); duration 251 ms. Response details in HTTP Evidence worksheet.</x:v>
      </x:c>
      <x:c r="L145" s="92" t="str">
        <x:v>HTTP Evidence rows 192–192; source: backend_report.html</x:v>
      </x:c>
      <x:c r="M145" s="93" t="n">
        <x:v>46323.253113425926</x:v>
      </x:c>
    </x:row>
    <x:row r="146" ht="31" customHeight="1">
      <x:c r="A146" s="29" t="str">
        <x:v>OPP-LIST-060</x:v>
      </x:c>
      <x:c r="B146" s="29" t="str">
        <x:v>Browse Opportunities</x:v>
      </x:c>
      <x:c r="C146" s="29" t="str">
        <x:v>GET</x:v>
      </x:c>
      <x:c r="D146" s="32" t="str">
        <x:v>/api/v1/opportunities</x:v>
      </x:c>
      <x:c r="E146" s="32" t="str">
        <x:v>Combine compensation, hours and deadline</x:v>
      </x:c>
      <x:c r="F146" s="32" t="str">
        <x:v>Results satisfy all filter groups</x:v>
      </x:c>
      <x:c r="G146" s="38" t="str">
        <x:v>Approved</x:v>
      </x:c>
      <x:c r="H146" s="29" t="str">
        <x:v>In scope</x:v>
      </x:c>
      <x:c r="I146" s="91" t="str">
        <x:v>Passed</x:v>
      </x:c>
      <x:c r="J146" s="92" t="str">
        <x:v>HTTP 200 (GET /api/v1/opportunities) • {"total":3,"limit":20,"offset":0,"items_count":3,"first_item_id":3}</x:v>
      </x:c>
      <x:c r="K146" s="92" t="str">
        <x:v>Passed assertions; 1 recorded HTTP exchange(s); duration 164 ms. Response details in HTTP Evidence worksheet.</x:v>
      </x:c>
      <x:c r="L146" s="92" t="str">
        <x:v>HTTP Evidence rows 193–193; source: backend_report.html</x:v>
      </x:c>
      <x:c r="M146" s="93" t="n">
        <x:v>46323.253113425926</x:v>
      </x:c>
    </x:row>
    <x:row r="147" ht="31" customHeight="1">
      <x:c r="A147" s="29" t="str">
        <x:v>OPP-LIST-061</x:v>
      </x:c>
      <x:c r="B147" s="29" t="str">
        <x:v>Browse Opportunities</x:v>
      </x:c>
      <x:c r="C147" s="29" t="str">
        <x:v>GET</x:v>
      </x:c>
      <x:c r="D147" s="32" t="str">
        <x:v>/api/v1/opportunities</x:v>
      </x:c>
      <x:c r="E147" s="32" t="str">
        <x:v>Combine search, filters, sort and pagination</x:v>
      </x:c>
      <x:c r="F147" s="32" t="str">
        <x:v>Correct items, ordering, total and pagination</x:v>
      </x:c>
      <x:c r="G147" s="38" t="str">
        <x:v>Approved</x:v>
      </x:c>
      <x:c r="H147" s="29" t="str">
        <x:v>In scope</x:v>
      </x:c>
      <x:c r="I147" s="91" t="str">
        <x:v>Passed</x:v>
      </x:c>
      <x:c r="J147" s="92" t="str">
        <x:v>HTTP 200 (GET /api/v1/opportunities) • {"total":2,"limit":1,"offset":0,"items_count":1,"first_item_id":1}</x:v>
      </x:c>
      <x:c r="K147" s="92" t="str">
        <x:v>Passed assertions; 1 recorded HTTP exchange(s); duration 172 ms. Response details in HTTP Evidence worksheet.</x:v>
      </x:c>
      <x:c r="L147" s="92" t="str">
        <x:v>HTTP Evidence rows 194–194; source: backend_report.html</x:v>
      </x:c>
      <x:c r="M147" s="93" t="n">
        <x:v>46323.253113425926</x:v>
      </x:c>
    </x:row>
    <x:row r="148" ht="31" customHeight="1">
      <x:c r="A148" s="29" t="str">
        <x:v>MINE-001</x:v>
      </x:c>
      <x:c r="B148" s="29" t="str">
        <x:v>My Opportunities</x:v>
      </x:c>
      <x:c r="C148" s="29" t="str">
        <x:v>GET</x:v>
      </x:c>
      <x:c r="D148" s="32" t="str">
        <x:v>/api/v1/opportunities/mine</x:v>
      </x:c>
      <x:c r="E148" s="32" t="str">
        <x:v>Creator retrieves own opportunities with valid JWT</x:v>
      </x:c>
      <x:c r="F148" s="32" t="str">
        <x:v>200; owned organization's opportunities; correct schema</x:v>
      </x:c>
      <x:c r="G148" s="38" t="str">
        <x:v>Approved</x:v>
      </x:c>
      <x:c r="H148" s="29" t="str">
        <x:v>In scope</x:v>
      </x:c>
      <x:c r="I148" s="91" t="str">
        <x:v>Passed</x:v>
      </x:c>
      <x:c r="J148" s="92" t="str">
        <x:v>HTTP 200 (GET /api/v1/opportunities/mine) • {"total":5,"limit":20,"offset":0,"items_count":5,"first_item_id":14} • Supporting requests: POST 200</x:v>
      </x:c>
      <x:c r="K148" s="92" t="str">
        <x:v>Passed assertions; 2 recorded HTTP exchange(s); duration 591 ms. Response details in HTTP Evidence worksheet.</x:v>
      </x:c>
      <x:c r="L148" s="92" t="str">
        <x:v>HTTP Evidence rows 195–196; source: backend_report.html</x:v>
      </x:c>
      <x:c r="M148" s="93" t="n">
        <x:v>46323.253113425926</x:v>
      </x:c>
    </x:row>
    <x:row r="149" ht="31" customHeight="1">
      <x:c r="A149" s="29" t="str">
        <x:v>MINE-002</x:v>
      </x:c>
      <x:c r="B149" s="29" t="str">
        <x:v>My Opportunities</x:v>
      </x:c>
      <x:c r="C149" s="29" t="str">
        <x:v>GET</x:v>
      </x:c>
      <x:c r="D149" s="32" t="str">
        <x:v>/api/v1/opportunities/mine</x:v>
      </x:c>
      <x:c r="E149" s="32" t="str">
        <x:v>Request without JWT</x:v>
      </x:c>
      <x:c r="F149" s="32" t="str">
        <x:v>401 unauthorized</x:v>
      </x:c>
      <x:c r="G149" s="38" t="str">
        <x:v>Approved</x:v>
      </x:c>
      <x:c r="H149" s="29" t="str">
        <x:v>In scope</x:v>
      </x:c>
      <x:c r="I149" s="91" t="str">
        <x:v>Passed</x:v>
      </x:c>
      <x:c r="J149" s="92" t="str">
        <x:v>HTTP 401 (GET /api/v1/opportunities/mine) • {"error":{"code":"AUTH_REQUIRED","message":"Authentication required"}} • Supporting requests: POST 200</x:v>
      </x:c>
      <x:c r="K149" s="92" t="str">
        <x:v>Passed assertions; 2 recorded HTTP exchange(s); duration 614 ms. Response details in HTTP Evidence worksheet.</x:v>
      </x:c>
      <x:c r="L149" s="92" t="str">
        <x:v>HTTP Evidence rows 197–198; source: backend_report.html</x:v>
      </x:c>
      <x:c r="M149" s="93" t="n">
        <x:v>46323.253113425926</x:v>
      </x:c>
    </x:row>
    <x:row r="150" ht="31" customHeight="1">
      <x:c r="A150" s="29" t="str">
        <x:v>MINE-003</x:v>
      </x:c>
      <x:c r="B150" s="29" t="str">
        <x:v>My Opportunities</x:v>
      </x:c>
      <x:c r="C150" s="29" t="str">
        <x:v>GET</x:v>
      </x:c>
      <x:c r="D150" s="32" t="str">
        <x:v>/api/v1/opportunities/mine</x:v>
      </x:c>
      <x:c r="E150" s="32" t="str">
        <x:v>Contributor requests My Opportunities</x:v>
      </x:c>
      <x:c r="F150" s="32" t="str">
        <x:v>403 forbidden</x:v>
      </x:c>
      <x:c r="G150" s="38" t="str">
        <x:v>Approved</x:v>
      </x:c>
      <x:c r="H150" s="29" t="str">
        <x:v>In scope</x:v>
      </x:c>
      <x:c r="I150" s="91" t="str">
        <x:v>Passed</x:v>
      </x:c>
      <x:c r="J150" s="92" t="str">
        <x:v>HTTP 403 (GET /api/v1/opportunities/mine) • {"error":{"code":"ROLE_FORBIDDEN","message":"This action requires role: creator"}} • Supporting requests: POST 200, POST 200</x:v>
      </x:c>
      <x:c r="K150" s="92" t="str">
        <x:v>Passed assertions; 3 recorded HTTP exchange(s); duration 965 ms. Response details in HTTP Evidence worksheet.</x:v>
      </x:c>
      <x:c r="L150" s="92" t="str">
        <x:v>HTTP Evidence rows 199–201; source: backend_report.html</x:v>
      </x:c>
      <x:c r="M150" s="93" t="n">
        <x:v>46323.253113425926</x:v>
      </x:c>
    </x:row>
    <x:row r="151" ht="31" customHeight="1">
      <x:c r="A151" s="29" t="str">
        <x:v>MINE-004</x:v>
      </x:c>
      <x:c r="B151" s="29" t="str">
        <x:v>My Opportunities</x:v>
      </x:c>
      <x:c r="C151" s="29" t="str">
        <x:v>GET</x:v>
      </x:c>
      <x:c r="D151" s="32" t="str">
        <x:v>/api/v1/opportunities/mine</x:v>
      </x:c>
      <x:c r="E151" s="32" t="str">
        <x:v>Creator supplies another organization's organization_id</x:v>
      </x:c>
      <x:c r="F151" s="32" t="str">
        <x:v>200; still only their own organization's records</x:v>
      </x:c>
      <x:c r="G151" s="38" t="str">
        <x:v>Approved</x:v>
      </x:c>
      <x:c r="H151" s="29" t="str">
        <x:v>In scope</x:v>
      </x:c>
      <x:c r="I151" s="91" t="str">
        <x:v>Passed</x:v>
      </x:c>
      <x:c r="J151" s="92" t="str">
        <x:v>HTTP 200 (GET /api/v1/opportunities/mine) • {"total":5,"limit":20,"offset":0,"items_count":5,"first_item_id":14} • Supporting requests: POST 200</x:v>
      </x:c>
      <x:c r="K151" s="92" t="str">
        <x:v>Passed assertions; 2 recorded HTTP exchange(s); duration 596 ms. Response details in HTTP Evidence worksheet.</x:v>
      </x:c>
      <x:c r="L151" s="92" t="str">
        <x:v>HTTP Evidence rows 202–203; source: backend_report.html</x:v>
      </x:c>
      <x:c r="M151" s="93" t="n">
        <x:v>46323.253113425926</x:v>
      </x:c>
    </x:row>
    <x:row r="152" ht="31" customHeight="1">
      <x:c r="A152" s="29" t="str">
        <x:v>MINE-005</x:v>
      </x:c>
      <x:c r="B152" s="29" t="str">
        <x:v>My Opportunities</x:v>
      </x:c>
      <x:c r="C152" s="29" t="str">
        <x:v>GET</x:v>
      </x:c>
      <x:c r="D152" s="32" t="str">
        <x:v>/api/v1/opportunities/mine</x:v>
      </x:c>
      <x:c r="E152" s="32" t="str">
        <x:v>Request without status filter</x:v>
      </x:c>
      <x:c r="F152" s="32" t="str">
        <x:v>200; available draft/open/closed/cancelled records included</x:v>
      </x:c>
      <x:c r="G152" s="38" t="str">
        <x:v>Approved</x:v>
      </x:c>
      <x:c r="H152" s="29" t="str">
        <x:v>In scope</x:v>
      </x:c>
      <x:c r="I152" s="91" t="str">
        <x:v>Passed</x:v>
      </x:c>
      <x:c r="J152" s="92" t="str">
        <x:v>HTTP 200 (GET /api/v1/opportunities/mine) • {"total":5,"limit":20,"offset":0,"items_count":5,"first_item_id":14} • Supporting requests: POST 200</x:v>
      </x:c>
      <x:c r="K152" s="92" t="str">
        <x:v>Passed assertions; 2 recorded HTTP exchange(s); duration 653 ms. Response details in HTTP Evidence worksheet.</x:v>
      </x:c>
      <x:c r="L152" s="92" t="str">
        <x:v>HTTP Evidence rows 204–205; source: backend_report.html</x:v>
      </x:c>
      <x:c r="M152" s="93" t="n">
        <x:v>46323.253113425926</x:v>
      </x:c>
    </x:row>
    <x:row r="153" ht="31" customHeight="1">
      <x:c r="A153" s="29" t="str">
        <x:v>MINE-006</x:v>
      </x:c>
      <x:c r="B153" s="29" t="str">
        <x:v>My Opportunities</x:v>
      </x:c>
      <x:c r="C153" s="29" t="str">
        <x:v>GET</x:v>
      </x:c>
      <x:c r="D153" s="32" t="str">
        <x:v>/api/v1/opportunities/mine</x:v>
      </x:c>
      <x:c r="E153" s="32" t="str">
        <x:v>Filter status=draft</x:v>
      </x:c>
      <x:c r="F153" s="32" t="str">
        <x:v>200; drafts only</x:v>
      </x:c>
      <x:c r="G153" s="38" t="str">
        <x:v>Approved</x:v>
      </x:c>
      <x:c r="H153" s="29" t="str">
        <x:v>In scope</x:v>
      </x:c>
      <x:c r="I153" s="91" t="str">
        <x:v>Passed</x:v>
      </x:c>
      <x:c r="J153" s="92" t="str">
        <x:v>HTTP 200 (GET /api/v1/opportunities/mine) • {"total":1,"limit":20,"offset":0,"items_count":1,"first_item_id":14} • Supporting requests: POST 200</x:v>
      </x:c>
      <x:c r="K153" s="92" t="str">
        <x:v>Passed assertions; 2 recorded HTTP exchange(s); duration 675 ms. Response details in HTTP Evidence worksheet.</x:v>
      </x:c>
      <x:c r="L153" s="92" t="str">
        <x:v>HTTP Evidence rows 206–207; source: backend_report.html</x:v>
      </x:c>
      <x:c r="M153" s="93" t="n">
        <x:v>46323.253113425926</x:v>
      </x:c>
    </x:row>
    <x:row r="154" ht="31" customHeight="1">
      <x:c r="A154" s="29" t="str">
        <x:v>MINE-007</x:v>
      </x:c>
      <x:c r="B154" s="29" t="str">
        <x:v>My Opportunities</x:v>
      </x:c>
      <x:c r="C154" s="29" t="str">
        <x:v>GET</x:v>
      </x:c>
      <x:c r="D154" s="32" t="str">
        <x:v>/api/v1/opportunities/mine</x:v>
      </x:c>
      <x:c r="E154" s="32" t="str">
        <x:v>Search matching owned opportunity title with q</x:v>
      </x:c>
      <x:c r="F154" s="32" t="str">
        <x:v>200; only matching owned opportunities</x:v>
      </x:c>
      <x:c r="G154" s="38" t="str">
        <x:v>Approved</x:v>
      </x:c>
      <x:c r="H154" s="29" t="str">
        <x:v>In scope</x:v>
      </x:c>
      <x:c r="I154" s="91" t="str">
        <x:v>Passed</x:v>
      </x:c>
      <x:c r="J154" s="92" t="str">
        <x:v>HTTP 200 (GET /api/v1/opportunities/mine) • {"total":1,"limit":20,"offset":0,"items_count":1,"first_item_id":2} • Supporting requests: POST 200</x:v>
      </x:c>
      <x:c r="K154" s="92" t="str">
        <x:v>Passed assertions; 2 recorded HTTP exchange(s); duration 559 ms. Response details in HTTP Evidence worksheet.</x:v>
      </x:c>
      <x:c r="L154" s="92" t="str">
        <x:v>HTTP Evidence rows 208–209; source: backend_report.html</x:v>
      </x:c>
      <x:c r="M154" s="93" t="n">
        <x:v>46323.253113425926</x:v>
      </x:c>
    </x:row>
    <x:row r="155" ht="31" customHeight="1">
      <x:c r="A155" s="29" t="str">
        <x:v>MINE-008</x:v>
      </x:c>
      <x:c r="B155" s="29" t="str">
        <x:v>My Opportunities</x:v>
      </x:c>
      <x:c r="C155" s="29" t="str">
        <x:v>GET</x:v>
      </x:c>
      <x:c r="D155" s="32" t="str">
        <x:v>/api/v1/opportunities/mine</x:v>
      </x:c>
      <x:c r="E155" s="32" t="str">
        <x:v>Combine category/skill/work_mode</x:v>
      </x:c>
      <x:c r="F155" s="32" t="str">
        <x:v>200; returned items satisfy all filters</x:v>
      </x:c>
      <x:c r="G155" s="38" t="str">
        <x:v>Approved</x:v>
      </x:c>
      <x:c r="H155" s="29" t="str">
        <x:v>In scope</x:v>
      </x:c>
      <x:c r="I155" s="91" t="str">
        <x:v>Passed</x:v>
      </x:c>
      <x:c r="J155" s="92" t="str">
        <x:v>HTTP 200 (GET /api/v1/opportunities/mine) • {"total":1,"limit":20,"offset":0,"items_count":1,"first_item_id":2} • Supporting requests: POST 200</x:v>
      </x:c>
      <x:c r="K155" s="92" t="str">
        <x:v>Passed assertions; 2 recorded HTTP exchange(s); duration 721 ms. Response details in HTTP Evidence worksheet.</x:v>
      </x:c>
      <x:c r="L155" s="92" t="str">
        <x:v>HTTP Evidence rows 210–211; source: backend_report.html</x:v>
      </x:c>
      <x:c r="M155" s="93" t="n">
        <x:v>46323.253113425926</x:v>
      </x:c>
    </x:row>
    <x:row r="156" ht="31" customHeight="1">
      <x:c r="A156" s="29" t="str">
        <x:v>MINE-009</x:v>
      </x:c>
      <x:c r="B156" s="29" t="str">
        <x:v>My Opportunities</x:v>
      </x:c>
      <x:c r="C156" s="29" t="str">
        <x:v>GET</x:v>
      </x:c>
      <x:c r="D156" s="32" t="str">
        <x:v>/api/v1/opportunities/mine</x:v>
      </x:c>
      <x:c r="E156" s="32" t="str">
        <x:v>Sort newest with limit=5 offset=0</x:v>
      </x:c>
      <x:c r="F156" s="32" t="str">
        <x:v>200; at most 5 newest; correct pagination</x:v>
      </x:c>
      <x:c r="G156" s="38" t="str">
        <x:v>Approved</x:v>
      </x:c>
      <x:c r="H156" s="29" t="str">
        <x:v>In scope</x:v>
      </x:c>
      <x:c r="I156" s="91" t="str">
        <x:v>Passed</x:v>
      </x:c>
      <x:c r="J156" s="92" t="str">
        <x:v>HTTP 200 (GET /api/v1/opportunities/mine) • {"total":5,"limit":5,"offset":0,"items_count":5,"first_item_id":14} • Supporting requests: POST 200</x:v>
      </x:c>
      <x:c r="K156" s="92" t="str">
        <x:v>Passed assertions; 2 recorded HTTP exchange(s); duration 685 ms. Response details in HTTP Evidence worksheet.</x:v>
      </x:c>
      <x:c r="L156" s="92" t="str">
        <x:v>HTTP Evidence rows 212–213; source: backend_report.html</x:v>
      </x:c>
      <x:c r="M156" s="93" t="n">
        <x:v>46323.253113425926</x:v>
      </x:c>
    </x:row>
    <x:row r="157" ht="31" customHeight="1">
      <x:c r="A157" s="29" t="str">
        <x:v>MINE-010</x:v>
      </x:c>
      <x:c r="B157" s="29" t="str">
        <x:v>My Opportunities</x:v>
      </x:c>
      <x:c r="C157" s="29" t="str">
        <x:v>GET</x:v>
      </x:c>
      <x:c r="D157" s="32" t="str">
        <x:v>/api/v1/opportunities/mine</x:v>
      </x:c>
      <x:c r="E157" s="32" t="str">
        <x:v>Invalid status=pending</x:v>
      </x:c>
      <x:c r="F157" s="32" t="str">
        <x:v>422 validation error</x:v>
      </x:c>
      <x:c r="G157" s="38" t="str">
        <x:v>Approved</x:v>
      </x:c>
      <x:c r="H157" s="29" t="str">
        <x:v>In scope</x:v>
      </x:c>
      <x:c r="I157" s="91" t="str">
        <x:v>Passed</x:v>
      </x:c>
      <x:c r="J157" s="92" t="str">
        <x:v>HTTP 422 (GET /api/v1/opportunities/mine?status=pending) • {"error":{"code":"VALIDATION_ERROR","message":"Request validation failed"}} • Supporting requests: POST 200</x:v>
      </x:c>
      <x:c r="K157" s="92" t="str">
        <x:v>Passed assertions; 2 recorded HTTP exchange(s); duration 731 ms. Response details in HTTP Evidence worksheet.</x:v>
      </x:c>
      <x:c r="L157" s="92" t="str">
        <x:v>HTTP Evidence rows 214–215; source: backend_report.html</x:v>
      </x:c>
      <x:c r="M157" s="93" t="n">
        <x:v>46323.253113425926</x:v>
      </x:c>
    </x:row>
    <x:row r="158" ht="31" customHeight="1">
      <x:c r="A158" s="29" t="str">
        <x:v>GET-001</x:v>
      </x:c>
      <x:c r="B158" s="29" t="str">
        <x:v>Opportunity Details</x:v>
      </x:c>
      <x:c r="C158" s="29" t="str">
        <x:v>GET</x:v>
      </x:c>
      <x:c r="D158" s="32" t="str">
        <x:v>/api/v1/opportunities/{opportunity_id}</x:v>
      </x:c>
      <x:c r="E158" s="32" t="str">
        <x:v>Get public open opportunity anonymously</x:v>
      </x:c>
      <x:c r="F158" s="32" t="str">
        <x:v>200; full expected opportunity details</x:v>
      </x:c>
      <x:c r="G158" s="38" t="str">
        <x:v>Approved</x:v>
      </x:c>
      <x:c r="H158" s="29" t="str">
        <x:v>In scope</x:v>
      </x:c>
      <x:c r="I158" s="91" t="str">
        <x:v>Passed</x:v>
      </x:c>
      <x:c r="J158" s="92" t="str">
        <x:v>HTTP 200 (GET /api/v1/opportunities/1) • {"status":"open","opportunity_id":1,"published_at":"2026-10-01T15:00:00Z","title":"Digitize paper recipe archive","skills_count":2,"category":"knowledge"}</x:v>
      </x:c>
      <x:c r="K158" s="92" t="str">
        <x:v>Passed assertions; 1 recorded HTTP exchange(s); duration 274 ms. Response details in HTTP Evidence worksheet.</x:v>
      </x:c>
      <x:c r="L158" s="92" t="str">
        <x:v>HTTP Evidence rows 216–216; source: backend_report.html</x:v>
      </x:c>
      <x:c r="M158" s="93" t="n">
        <x:v>46323.253113425926</x:v>
      </x:c>
    </x:row>
    <x:row r="159" ht="31" customHeight="1">
      <x:c r="A159" s="29" t="str">
        <x:v>GET-002</x:v>
      </x:c>
      <x:c r="B159" s="29" t="str">
        <x:v>Opportunity Details</x:v>
      </x:c>
      <x:c r="C159" s="29" t="str">
        <x:v>GET</x:v>
      </x:c>
      <x:c r="D159" s="32" t="str">
        <x:v>/api/v1/opportunities/{opportunity_id}</x:v>
      </x:c>
      <x:c r="E159" s="32" t="str">
        <x:v>Get open opportunity with authenticated user</x:v>
      </x:c>
      <x:c r="F159" s="32" t="str">
        <x:v>200 for Creator, Contributor and Admin</x:v>
      </x:c>
      <x:c r="G159" s="38" t="str">
        <x:v>Approved</x:v>
      </x:c>
      <x:c r="H159" s="29" t="str">
        <x:v>In scope</x:v>
      </x:c>
      <x:c r="I159" s="91" t="str">
        <x:v>Passed</x:v>
      </x:c>
      <x:c r="J159" s="92" t="str">
        <x:v>HTTP 200 / 200 / 200 (GET /api/v1/opportunities/1) • {"status":"open","opportunity_id":1,"published_at":"2026-10-01T15:00:00Z","title":"Digitize paper recipe archive","skills_count":2,"category":"knowledge"} • Supporting requests: POST 200, POST 200, POST 200</x:v>
      </x:c>
      <x:c r="K159" s="92" t="str">
        <x:v>Passed assertions; 6 recorded HTTP exchange(s); duration 00:00:02. Response details in HTTP Evidence worksheet.</x:v>
      </x:c>
      <x:c r="L159" s="92" t="str">
        <x:v>HTTP Evidence rows 217–222; source: backend_report.html</x:v>
      </x:c>
      <x:c r="M159" s="93" t="n">
        <x:v>46323.253113425926</x:v>
      </x:c>
    </x:row>
    <x:row r="160" ht="31" customHeight="1">
      <x:c r="A160" s="29" t="str">
        <x:v>GET-003</x:v>
      </x:c>
      <x:c r="B160" s="29" t="str">
        <x:v>Opportunity Details</x:v>
      </x:c>
      <x:c r="C160" s="29" t="str">
        <x:v>GET</x:v>
      </x:c>
      <x:c r="D160" s="32" t="str">
        <x:v>/api/v1/opportunities/{opportunity_id}</x:v>
      </x:c>
      <x:c r="E160" s="32" t="str">
        <x:v>Owner Creator requests own draft</x:v>
      </x:c>
      <x:c r="F160" s="32" t="str">
        <x:v>200; draft details including nullable fields</x:v>
      </x:c>
      <x:c r="G160" s="38" t="str">
        <x:v>Approved</x:v>
      </x:c>
      <x:c r="H160" s="29" t="str">
        <x:v>In scope</x:v>
      </x:c>
      <x:c r="I160" s="91" t="str">
        <x:v>Passed</x:v>
      </x:c>
      <x:c r="J160" s="92" t="str">
        <x:v>HTTP 200 (GET /api/v1/opportunities/14) • {"status":"draft","opportunity_id":14,"published_at":null,"title":"Point-of-sale menu photo shoot","skills_count":1,"category":"knowledge"} • Supporting requests: POST 200</x:v>
      </x:c>
      <x:c r="K160" s="92" t="str">
        <x:v>Passed assertions; 2 recorded HTTP exchange(s); duration 618 ms. Response details in HTTP Evidence worksheet.</x:v>
      </x:c>
      <x:c r="L160" s="92" t="str">
        <x:v>HTTP Evidence rows 223–224; source: backend_report.html</x:v>
      </x:c>
      <x:c r="M160" s="93" t="n">
        <x:v>46323.253113425926</x:v>
      </x:c>
    </x:row>
    <x:row r="161" ht="31" customHeight="1">
      <x:c r="A161" s="29" t="str">
        <x:v>GET-004</x:v>
      </x:c>
      <x:c r="B161" s="29" t="str">
        <x:v>Opportunity Details</x:v>
      </x:c>
      <x:c r="C161" s="29" t="str">
        <x:v>GET</x:v>
      </x:c>
      <x:c r="D161" s="32" t="str">
        <x:v>/api/v1/opportunities/{opportunity_id}</x:v>
      </x:c>
      <x:c r="E161" s="32" t="str">
        <x:v>Anonymous visitor requests draft</x:v>
      </x:c>
      <x:c r="F161" s="32" t="str">
        <x:v>404 OPPORTUNITY_NOT_FOUND</x:v>
      </x:c>
      <x:c r="G161" s="38" t="str">
        <x:v>Approved</x:v>
      </x:c>
      <x:c r="H161" s="29" t="str">
        <x:v>In scope</x:v>
      </x:c>
      <x:c r="I161" s="91" t="str">
        <x:v>Passed</x:v>
      </x:c>
      <x:c r="J161" s="92" t="str">
        <x:v>HTTP 404 (GET /api/v1/opportunities/14) • {"error":{"code":"OPPORTUNITY_NOT_FOUND","message":"Opportunity not found"}}</x:v>
      </x:c>
      <x:c r="K161" s="92" t="str">
        <x:v>Passed assertions; 1 recorded HTTP exchange(s); duration 178 ms. Response details in HTTP Evidence worksheet.</x:v>
      </x:c>
      <x:c r="L161" s="92" t="str">
        <x:v>HTTP Evidence rows 225–225; source: backend_report.html</x:v>
      </x:c>
      <x:c r="M161" s="93" t="n">
        <x:v>46323.253113425926</x:v>
      </x:c>
    </x:row>
    <x:row r="162" ht="31" customHeight="1">
      <x:c r="A162" s="29" t="str">
        <x:v>GET-005</x:v>
      </x:c>
      <x:c r="B162" s="29" t="str">
        <x:v>Opportunity Details</x:v>
      </x:c>
      <x:c r="C162" s="29" t="str">
        <x:v>GET</x:v>
      </x:c>
      <x:c r="D162" s="32" t="str">
        <x:v>/api/v1/opportunities/{opportunity_id}</x:v>
      </x:c>
      <x:c r="E162" s="32" t="str">
        <x:v>Other Creator requests someone else's draft</x:v>
      </x:c>
      <x:c r="F162" s="32" t="str">
        <x:v>404 OPPORTUNITY_NOT_FOUND</x:v>
      </x:c>
      <x:c r="G162" s="38" t="str">
        <x:v>Approved</x:v>
      </x:c>
      <x:c r="H162" s="29" t="str">
        <x:v>In scope</x:v>
      </x:c>
      <x:c r="I162" s="91" t="str">
        <x:v>Passed</x:v>
      </x:c>
      <x:c r="J162" s="92" t="str">
        <x:v>HTTP 404 (GET /api/v1/opportunities/14) • {"error":{"code":"OPPORTUNITY_NOT_FOUND","message":"Opportunity not found"}} • Supporting requests: POST 200</x:v>
      </x:c>
      <x:c r="K162" s="92" t="str">
        <x:v>Passed assertions; 2 recorded HTTP exchange(s); duration 568 ms. Response details in HTTP Evidence worksheet.</x:v>
      </x:c>
      <x:c r="L162" s="92" t="str">
        <x:v>HTTP Evidence rows 226–227; source: backend_report.html</x:v>
      </x:c>
      <x:c r="M162" s="93" t="n">
        <x:v>46323.253113425926</x:v>
      </x:c>
    </x:row>
    <x:row r="163" ht="31" customHeight="1">
      <x:c r="A163" s="29" t="str">
        <x:v>GET-006</x:v>
      </x:c>
      <x:c r="B163" s="29" t="str">
        <x:v>Opportunity Details</x:v>
      </x:c>
      <x:c r="C163" s="29" t="str">
        <x:v>GET</x:v>
      </x:c>
      <x:c r="D163" s="32" t="str">
        <x:v>/api/v1/opportunities/{opportunity_id}</x:v>
      </x:c>
      <x:c r="E163" s="32" t="str">
        <x:v>Get existing closed opportunity</x:v>
      </x:c>
      <x:c r="F163" s="32" t="str">
        <x:v>200; status=closed</x:v>
      </x:c>
      <x:c r="G163" s="38" t="str">
        <x:v>Approved</x:v>
      </x:c>
      <x:c r="H163" s="29" t="str">
        <x:v>In scope</x:v>
      </x:c>
      <x:c r="I163" s="91" t="str">
        <x:v>Passed</x:v>
      </x:c>
      <x:c r="J163" s="92" t="str">
        <x:v>HTTP 200 (GET /api/v1/opportunities/11) • {"status":"closed","opportunity_id":11,"published_at":"2026-07-01T14:00:00Z","title":"Summer BBQ volunteer crew","skills_count":2,"category":"community"}</x:v>
      </x:c>
      <x:c r="K163" s="92" t="str">
        <x:v>Passed assertions; 1 recorded HTTP exchange(s); duration 191 ms. Response details in HTTP Evidence worksheet.</x:v>
      </x:c>
      <x:c r="L163" s="92" t="str">
        <x:v>HTTP Evidence rows 228–228; source: backend_report.html</x:v>
      </x:c>
      <x:c r="M163" s="93" t="n">
        <x:v>46323.253113425926</x:v>
      </x:c>
    </x:row>
    <x:row r="164" ht="31" customHeight="1">
      <x:c r="A164" s="29" t="str">
        <x:v>GET-007</x:v>
      </x:c>
      <x:c r="B164" s="29" t="str">
        <x:v>Opportunity Details</x:v>
      </x:c>
      <x:c r="C164" s="29" t="str">
        <x:v>GET</x:v>
      </x:c>
      <x:c r="D164" s="32" t="str">
        <x:v>/api/v1/opportunities/{opportunity_id}</x:v>
      </x:c>
      <x:c r="E164" s="32" t="str">
        <x:v>Get existing open opportunity with expired deadline</x:v>
      </x:c>
      <x:c r="F164" s="32" t="str">
        <x:v>200; details visible</x:v>
      </x:c>
      <x:c r="G164" s="38" t="str">
        <x:v>Approved</x:v>
      </x:c>
      <x:c r="H164" s="29" t="str">
        <x:v>In scope</x:v>
      </x:c>
      <x:c r="I164" s="91" t="str">
        <x:v>Passed</x:v>
      </x:c>
      <x:c r="J164" s="92" t="str">
        <x:v>HTTP 200 (GET /api/v1/opportunities/10) • {"status":"open","opportunity_id":10,"published_at":"2026-09-15T14:00:00Z","title":"Warehouse inventory count","skills_count":1,"category":"community"} • Supporting requests: GET 200</x:v>
      </x:c>
      <x:c r="K164" s="92" t="str">
        <x:v>Passed assertions; 2 recorded HTTP exchange(s); duration 174 ms. Response details in HTTP Evidence worksheet.</x:v>
      </x:c>
      <x:c r="L164" s="92" t="str">
        <x:v>HTTP Evidence rows 229–230; source: backend_report.html</x:v>
      </x:c>
      <x:c r="M164" s="93" t="n">
        <x:v>46323.253113425926</x:v>
      </x:c>
    </x:row>
    <x:row r="165" ht="31" customHeight="1">
      <x:c r="A165" s="29" t="str">
        <x:v>GET-008</x:v>
      </x:c>
      <x:c r="B165" s="29" t="str">
        <x:v>Opportunity Details</x:v>
      </x:c>
      <x:c r="C165" s="29" t="str">
        <x:v>GET</x:v>
      </x:c>
      <x:c r="D165" s="32" t="str">
        <x:v>/api/v1/opportunities/{opportunity_id}</x:v>
      </x:c>
      <x:c r="E165" s="32" t="str">
        <x:v>Get nonexistent opportunity ID</x:v>
      </x:c>
      <x:c r="F165" s="32" t="str">
        <x:v>404 OPPORTUNITY_NOT_FOUND</x:v>
      </x:c>
      <x:c r="G165" s="38" t="str">
        <x:v>Approved</x:v>
      </x:c>
      <x:c r="H165" s="29" t="str">
        <x:v>In scope</x:v>
      </x:c>
      <x:c r="I165" s="91" t="str">
        <x:v>Passed</x:v>
      </x:c>
      <x:c r="J165" s="92" t="str">
        <x:v>HTTP 404 (GET /api/v1/opportunities/999999) • {"error":{"code":"OPPORTUNITY_NOT_FOUND","message":"Opportunity not found"}}</x:v>
      </x:c>
      <x:c r="K165" s="92" t="str">
        <x:v>Passed assertions; 1 recorded HTTP exchange(s); duration 158 ms. Response details in HTTP Evidence worksheet.</x:v>
      </x:c>
      <x:c r="L165" s="92" t="str">
        <x:v>HTTP Evidence rows 231–231; source: backend_report.html</x:v>
      </x:c>
      <x:c r="M165" s="93" t="n">
        <x:v>46323.253113425926</x:v>
      </x:c>
    </x:row>
    <x:row r="166" ht="31" customHeight="1">
      <x:c r="A166" s="29" t="str">
        <x:v>GET-009</x:v>
      </x:c>
      <x:c r="B166" s="29" t="str">
        <x:v>Opportunity Details</x:v>
      </x:c>
      <x:c r="C166" s="29" t="str">
        <x:v>GET</x:v>
      </x:c>
      <x:c r="D166" s="32" t="str">
        <x:v>/api/v1/opportunities/{opportunity_id}</x:v>
      </x:c>
      <x:c r="E166" s="32" t="str">
        <x:v>Get invalid opportunity ID 0</x:v>
      </x:c>
      <x:c r="F166" s="32" t="str">
        <x:v>422 validation error</x:v>
      </x:c>
      <x:c r="G166" s="38" t="str">
        <x:v>Approved</x:v>
      </x:c>
      <x:c r="H166" s="29" t="str">
        <x:v>In scope</x:v>
      </x:c>
      <x:c r="I166" s="91" t="str">
        <x:v>Passed</x:v>
      </x:c>
      <x:c r="J166" s="92" t="str">
        <x:v>HTTP 422 (GET /api/v1/opportunities/0) • {"error":{"code":"VALIDATION_ERROR","message":"Request validation failed"}}</x:v>
      </x:c>
      <x:c r="K166" s="92" t="str">
        <x:v>Passed assertions; 1 recorded HTTP exchange(s); duration 138 ms. Response details in HTTP Evidence worksheet.</x:v>
      </x:c>
      <x:c r="L166" s="92" t="str">
        <x:v>HTTP Evidence rows 232–232; source: backend_report.html</x:v>
      </x:c>
      <x:c r="M166" s="93" t="n">
        <x:v>46323.253113425926</x:v>
      </x:c>
    </x:row>
    <x:row r="167" ht="31" customHeight="1">
      <x:c r="A167" s="29" t="str">
        <x:v>GET-010</x:v>
      </x:c>
      <x:c r="B167" s="29" t="str">
        <x:v>Opportunity Details</x:v>
      </x:c>
      <x:c r="C167" s="29" t="str">
        <x:v>GET</x:v>
      </x:c>
      <x:c r="D167" s="32" t="str">
        <x:v>/api/v1/opportunities/{opportunity_id}</x:v>
      </x:c>
      <x:c r="E167" s="32" t="str">
        <x:v>Supply invalid/expired JWT on public opportunity request</x:v>
      </x:c>
      <x:c r="F167" s="32" t="str">
        <x:v>401 INVALID_TOKEN</x:v>
      </x:c>
      <x:c r="G167" s="38" t="str">
        <x:v>Approved</x:v>
      </x:c>
      <x:c r="H167" s="29" t="str">
        <x:v>In scope</x:v>
      </x:c>
      <x:c r="I167" s="91" t="str">
        <x:v>Passed</x:v>
      </x:c>
      <x:c r="J167" s="92" t="str">
        <x:v>HTTP 401 (GET /api/v1/opportunities/1) • {"error":{"code":"INVALID_TOKEN","message":"Invalid or expired token"}}</x:v>
      </x:c>
      <x:c r="K167" s="92" t="str">
        <x:v>Passed assertions; 1 recorded HTTP exchange(s); duration 146 ms. Response details in HTTP Evidence worksheet.</x:v>
      </x:c>
      <x:c r="L167" s="92" t="str">
        <x:v>HTTP Evidence rows 233–233; source: backend_report.html</x:v>
      </x:c>
      <x:c r="M167" s="93" t="n">
        <x:v>46323.253113425926</x:v>
      </x:c>
    </x:row>
    <x:row r="168" ht="31" customHeight="1">
      <x:c r="A168" s="29" t="str">
        <x:v>CREATE-001</x:v>
      </x:c>
      <x:c r="B168" s="29" t="str">
        <x:v>Create Opportunity</x:v>
      </x:c>
      <x:c r="C168" s="29" t="str">
        <x:v>POST</x:v>
      </x:c>
      <x:c r="D168" s="32" t="str">
        <x:v>/api/v1/opportunities</x:v>
      </x:c>
      <x:c r="E168" s="32" t="str">
        <x:v>Create draft with minimum required fields</x:v>
      </x:c>
      <x:c r="F168" s="32" t="str">
        <x:v>201; draft; optional fields nullable</x:v>
      </x:c>
      <x:c r="G168" s="38" t="str">
        <x:v>Approved</x:v>
      </x:c>
      <x:c r="H168" s="29" t="str">
        <x:v>In scope</x:v>
      </x:c>
      <x:c r="I168" s="91" t="str">
        <x:v>Passed</x:v>
      </x:c>
      <x:c r="J168" s="92" t="str">
        <x:v>HTTP 201 (POST /api/v1/opportunities) • {"status":"draft","opportunity_id":16,"published_at":null,"title":"Approved API test draft","skills_count":0,"category":"knowledge"} • Supporting requests: POST 200</x:v>
      </x:c>
      <x:c r="K168" s="92" t="str">
        <x:v>Passed assertions; 2 recorded HTTP exchange(s); duration 759 ms. Response details in HTTP Evidence worksheet.</x:v>
      </x:c>
      <x:c r="L168" s="92" t="str">
        <x:v>HTTP Evidence rows 234–235; source: backend_report.html</x:v>
      </x:c>
      <x:c r="M168" s="93" t="n">
        <x:v>46323.253113425926</x:v>
      </x:c>
    </x:row>
    <x:row r="169" ht="31" customHeight="1">
      <x:c r="A169" s="29" t="str">
        <x:v>CREATE-002</x:v>
      </x:c>
      <x:c r="B169" s="29" t="str">
        <x:v>Create Opportunity</x:v>
      </x:c>
      <x:c r="C169" s="29" t="str">
        <x:v>POST</x:v>
      </x:c>
      <x:c r="D169" s="32" t="str">
        <x:v>/api/v1/opportunities</x:v>
      </x:c>
      <x:c r="E169" s="32" t="str">
        <x:v>Create complete valid opportunity with all supported fields</x:v>
      </x:c>
      <x:c r="F169" s="32" t="str">
        <x:v>201; response matches data with dates normalized</x:v>
      </x:c>
      <x:c r="G169" s="38" t="str">
        <x:v>Approved</x:v>
      </x:c>
      <x:c r="H169" s="29" t="str">
        <x:v>In scope</x:v>
      </x:c>
      <x:c r="I169" s="91" t="str">
        <x:v>Passed</x:v>
      </x:c>
      <x:c r="J169" s="92" t="str">
        <x:v>HTTP 201 (POST /api/v1/opportunities) • {"status":"draft","opportunity_id":17,"published_at":null,"title":"Approved QA Inventory Project","skills_count":2,"category":"community"} • Supporting requests: POST 200</x:v>
      </x:c>
      <x:c r="K169" s="92" t="str">
        <x:v>Passed assertions; 2 recorded HTTP exchange(s); duration 700 ms. Response details in HTTP Evidence worksheet.</x:v>
      </x:c>
      <x:c r="L169" s="92" t="str">
        <x:v>HTTP Evidence rows 236–237; source: backend_report.html</x:v>
      </x:c>
      <x:c r="M169" s="93" t="n">
        <x:v>46323.253113425926</x:v>
      </x:c>
    </x:row>
    <x:row r="170" ht="31" customHeight="1">
      <x:c r="A170" s="29" t="str">
        <x:v>CREATE-003</x:v>
      </x:c>
      <x:c r="B170" s="29" t="str">
        <x:v>Create Opportunity</x:v>
      </x:c>
      <x:c r="C170" s="29" t="str">
        <x:v>POST</x:v>
      </x:c>
      <x:c r="D170" s="32" t="str">
        <x:v>/api/v1/opportunities</x:v>
      </x:c>
      <x:c r="E170" s="32" t="str">
        <x:v>Newly created opportunity remains draft</x:v>
      </x:c>
      <x:c r="F170" s="32" t="str">
        <x:v>201; status=draft; published_at=null; absent public Browse</x:v>
      </x:c>
      <x:c r="G170" s="38" t="str">
        <x:v>Approved</x:v>
      </x:c>
      <x:c r="H170" s="29" t="str">
        <x:v>In scope</x:v>
      </x:c>
      <x:c r="I170" s="91" t="str">
        <x:v>Passed</x:v>
      </x:c>
      <x:c r="J170" s="92" t="str">
        <x:v>HTTP 201 (POST /api/v1/opportunities) • {"status":"draft","opportunity_id":18,"published_at":null,"title":"Approved API test draft","skills_count":0,"category":"knowledge"} • Supporting requests: POST 200, GET 200, GET 200</x:v>
      </x:c>
      <x:c r="K170" s="92" t="str">
        <x:v>Passed assertions; 4 recorded HTTP exchange(s); duration 748 ms. Response details in HTTP Evidence worksheet.</x:v>
      </x:c>
      <x:c r="L170" s="92" t="str">
        <x:v>HTTP Evidence rows 238–241; source: backend_report.html</x:v>
      </x:c>
      <x:c r="M170" s="93" t="n">
        <x:v>46323.253113425926</x:v>
      </x:c>
    </x:row>
    <x:row r="171" ht="31" customHeight="1">
      <x:c r="A171" s="29" t="str">
        <x:v>CREATE-004</x:v>
      </x:c>
      <x:c r="B171" s="29" t="str">
        <x:v>Create Opportunity</x:v>
      </x:c>
      <x:c r="C171" s="29" t="str">
        <x:v>POST</x:v>
      </x:c>
      <x:c r="D171" s="32" t="str">
        <x:v>/api/v1/opportunities</x:v>
      </x:c>
      <x:c r="E171" s="32" t="str">
        <x:v>Verify new opportunity belongs to authenticated organization</x:v>
      </x:c>
      <x:c r="F171" s="32" t="str">
        <x:v>201; owned organization; visible in My Opportunities</x:v>
      </x:c>
      <x:c r="G171" s="38" t="str">
        <x:v>Approved</x:v>
      </x:c>
      <x:c r="H171" s="29" t="str">
        <x:v>In scope</x:v>
      </x:c>
      <x:c r="I171" s="91" t="str">
        <x:v>Passed</x:v>
      </x:c>
      <x:c r="J171" s="92" t="str">
        <x:v>HTTP 201 (POST /api/v1/opportunities) • {"status":"draft","opportunity_id":19,"published_at":null,"title":"Approved API test draft","skills_count":0,"category":"knowledge"} • Supporting requests: POST 200, GET 200</x:v>
      </x:c>
      <x:c r="K171" s="92" t="str">
        <x:v>Passed assertions; 3 recorded HTTP exchange(s); duration 708 ms. Response details in HTTP Evidence worksheet.</x:v>
      </x:c>
      <x:c r="L171" s="92" t="str">
        <x:v>HTTP Evidence rows 242–244; source: backend_report.html</x:v>
      </x:c>
      <x:c r="M171" s="93" t="n">
        <x:v>46323.253113425926</x:v>
      </x:c>
    </x:row>
    <x:row r="172" ht="31" customHeight="1">
      <x:c r="A172" s="29" t="str">
        <x:v>CREATE-005</x:v>
      </x:c>
      <x:c r="B172" s="29" t="str">
        <x:v>Create Opportunity</x:v>
      </x:c>
      <x:c r="C172" s="29" t="str">
        <x:v>POST</x:v>
      </x:c>
      <x:c r="D172" s="32" t="str">
        <x:v>/api/v1/opportunities</x:v>
      </x:c>
      <x:c r="E172" s="32" t="str">
        <x:v>Create without JWT</x:v>
      </x:c>
      <x:c r="F172" s="32" t="str">
        <x:v>401 AUTH_REQUIRED; no creation</x:v>
      </x:c>
      <x:c r="G172" s="38" t="str">
        <x:v>Approved</x:v>
      </x:c>
      <x:c r="H172" s="29" t="str">
        <x:v>In scope</x:v>
      </x:c>
      <x:c r="I172" s="91" t="str">
        <x:v>Passed</x:v>
      </x:c>
      <x:c r="J172" s="92" t="str">
        <x:v>HTTP 401 (POST /api/v1/opportunities) • {"error":{"code":"AUTH_REQUIRED","message":"Authentication required"}} • Supporting requests: POST 200</x:v>
      </x:c>
      <x:c r="K172" s="92" t="str">
        <x:v>Passed assertions; 2 recorded HTTP exchange(s); duration 677 ms. Response details in HTTP Evidence worksheet.</x:v>
      </x:c>
      <x:c r="L172" s="92" t="str">
        <x:v>HTTP Evidence rows 245–246; source: backend_report.html</x:v>
      </x:c>
      <x:c r="M172" s="93" t="n">
        <x:v>46323.253113425926</x:v>
      </x:c>
    </x:row>
    <x:row r="173" ht="31" customHeight="1">
      <x:c r="A173" s="29" t="str">
        <x:v>CREATE-006</x:v>
      </x:c>
      <x:c r="B173" s="29" t="str">
        <x:v>Create Opportunity</x:v>
      </x:c>
      <x:c r="C173" s="29" t="str">
        <x:v>POST</x:v>
      </x:c>
      <x:c r="D173" s="32" t="str">
        <x:v>/api/v1/opportunities</x:v>
      </x:c>
      <x:c r="E173" s="32" t="str">
        <x:v>Create with invalid or expired JWT</x:v>
      </x:c>
      <x:c r="F173" s="32" t="str">
        <x:v>401 INVALID_TOKEN; no creation</x:v>
      </x:c>
      <x:c r="G173" s="38" t="str">
        <x:v>Approved</x:v>
      </x:c>
      <x:c r="H173" s="29" t="str">
        <x:v>In scope</x:v>
      </x:c>
      <x:c r="I173" s="91" t="str">
        <x:v>Passed</x:v>
      </x:c>
      <x:c r="J173" s="92" t="str">
        <x:v>HTTP 401 (POST /api/v1/opportunities) • {"error":{"code":"INVALID_TOKEN","message":"Invalid or expired token"}} • Supporting requests: POST 200</x:v>
      </x:c>
      <x:c r="K173" s="92" t="str">
        <x:v>Passed assertions; 2 recorded HTTP exchange(s); duration 643 ms. Response details in HTTP Evidence worksheet.</x:v>
      </x:c>
      <x:c r="L173" s="92" t="str">
        <x:v>HTTP Evidence rows 247–248; source: backend_report.html</x:v>
      </x:c>
      <x:c r="M173" s="93" t="n">
        <x:v>46323.253113425926</x:v>
      </x:c>
    </x:row>
    <x:row r="174" ht="31" customHeight="1">
      <x:c r="A174" s="29" t="str">
        <x:v>CREATE-007</x:v>
      </x:c>
      <x:c r="B174" s="29" t="str">
        <x:v>Create Opportunity</x:v>
      </x:c>
      <x:c r="C174" s="29" t="str">
        <x:v>POST</x:v>
      </x:c>
      <x:c r="D174" s="32" t="str">
        <x:v>/api/v1/opportunities</x:v>
      </x:c>
      <x:c r="E174" s="32" t="str">
        <x:v>Contributor or Admin attempts creation</x:v>
      </x:c>
      <x:c r="F174" s="32" t="str">
        <x:v>403 ROLE_FORBIDDEN; no creation</x:v>
      </x:c>
      <x:c r="G174" s="38" t="str">
        <x:v>Approved</x:v>
      </x:c>
      <x:c r="H174" s="29" t="str">
        <x:v>In scope</x:v>
      </x:c>
      <x:c r="I174" s="91" t="str">
        <x:v>Passed</x:v>
      </x:c>
      <x:c r="J174" s="92" t="str">
        <x:v>HTTP 403 / 403 (POST /api/v1/opportunities) • {"error":{"code":"ROLE_FORBIDDEN","message":"This action requires role: creator"}} • Supporting requests: POST 200, POST 200, POST 200</x:v>
      </x:c>
      <x:c r="K174" s="92" t="str">
        <x:v>Passed assertions; 5 recorded HTTP exchange(s); duration 00:00:02. Response details in HTTP Evidence worksheet.</x:v>
      </x:c>
      <x:c r="L174" s="92" t="str">
        <x:v>HTTP Evidence rows 249–253; source: backend_report.html</x:v>
      </x:c>
      <x:c r="M174" s="93" t="n">
        <x:v>46323.253113425926</x:v>
      </x:c>
    </x:row>
    <x:row r="175" ht="31" customHeight="1">
      <x:c r="A175" s="29" t="str">
        <x:v>CREATE-008</x:v>
      </x:c>
      <x:c r="B175" s="29" t="str">
        <x:v>Create Opportunity</x:v>
      </x:c>
      <x:c r="C175" s="29" t="str">
        <x:v>POST</x:v>
      </x:c>
      <x:c r="D175" s="32" t="str">
        <x:v>/api/v1/opportunities</x:v>
      </x:c>
      <x:c r="E175" s="32" t="str">
        <x:v>Creator without organization attempts creation</x:v>
      </x:c>
      <x:c r="F175" s="32" t="str">
        <x:v>409 ORGANIZATION_REQUIRED</x:v>
      </x:c>
      <x:c r="G175" s="38" t="str">
        <x:v>Approved</x:v>
      </x:c>
      <x:c r="H175" s="29" t="str">
        <x:v>In scope</x:v>
      </x:c>
      <x:c r="I175" s="91" t="str">
        <x:v>Passed</x:v>
      </x:c>
      <x:c r="J175" s="92" t="str">
        <x:v>HTTP 409 (POST /api/v1/opportunities) • {"error":{"code":"ORGANIZATION_REQUIRED","message":"Your account has no organization to post opportunities for"}} • Supporting requests: POST 200, POST 200</x:v>
      </x:c>
      <x:c r="K175" s="92" t="str">
        <x:v>Passed assertions; 3 recorded HTTP exchange(s); duration 00:00:01. Response details in HTTP Evidence worksheet.</x:v>
      </x:c>
      <x:c r="L175" s="92" t="str">
        <x:v>HTTP Evidence rows 254–256; source: backend_report.html</x:v>
      </x:c>
      <x:c r="M175" s="93" t="n">
        <x:v>46323.253113425926</x:v>
      </x:c>
    </x:row>
    <x:row r="176" ht="31" customHeight="1">
      <x:c r="A176" s="29" t="str">
        <x:v>CREATE-009</x:v>
      </x:c>
      <x:c r="B176" s="29" t="str">
        <x:v>Create Opportunity</x:v>
      </x:c>
      <x:c r="C176" s="29" t="str">
        <x:v>POST</x:v>
      </x:c>
      <x:c r="D176" s="32" t="str">
        <x:v>/api/v1/opportunities</x:v>
      </x:c>
      <x:c r="E176" s="32" t="str">
        <x:v>Omit required title/description/category</x:v>
      </x:c>
      <x:c r="F176" s="32" t="str">
        <x:v>422 for each missing-field variation</x:v>
      </x:c>
      <x:c r="G176" s="38" t="str">
        <x:v>Approved</x:v>
      </x:c>
      <x:c r="H176" s="29" t="str">
        <x:v>In scope</x:v>
      </x:c>
      <x:c r="I176" s="91" t="str">
        <x:v>Passed</x:v>
      </x:c>
      <x:c r="J176" s="92" t="str">
        <x:v>HTTP 422 / 422 / 422 (POST /api/v1/opportunities) • {"error":{"code":"VALIDATION_ERROR","message":"Request validation failed"}} • Supporting requests: POST 200</x:v>
      </x:c>
      <x:c r="K176" s="92" t="str">
        <x:v>Passed assertions; 4 recorded HTTP exchange(s); duration 787 ms. Response details in HTTP Evidence worksheet.</x:v>
      </x:c>
      <x:c r="L176" s="92" t="str">
        <x:v>HTTP Evidence rows 257–260; source: backend_report.html</x:v>
      </x:c>
      <x:c r="M176" s="93" t="n">
        <x:v>46323.253113425926</x:v>
      </x:c>
    </x:row>
    <x:row r="177" ht="31" customHeight="1">
      <x:c r="A177" s="29" t="str">
        <x:v>CREATE-010</x:v>
      </x:c>
      <x:c r="B177" s="29" t="str">
        <x:v>Create Opportunity</x:v>
      </x:c>
      <x:c r="C177" s="29" t="str">
        <x:v>POST</x:v>
      </x:c>
      <x:c r="D177" s="32" t="str">
        <x:v>/api/v1/opportunities</x:v>
      </x:c>
      <x:c r="E177" s="32" t="str">
        <x:v>Invalid title length or blank description</x:v>
      </x:c>
      <x:c r="F177" s="32" t="str">
        <x:v>422 for each invalid variation</x:v>
      </x:c>
      <x:c r="G177" s="38" t="str">
        <x:v>Approved</x:v>
      </x:c>
      <x:c r="H177" s="29" t="str">
        <x:v>In scope</x:v>
      </x:c>
      <x:c r="I177" s="91" t="str">
        <x:v>Passed</x:v>
      </x:c>
      <x:c r="J177" s="92" t="str">
        <x:v>HTTP 422 / 422 / 422 (POST /api/v1/opportunities) • {"error":{"code":"VALIDATION_ERROR","message":"Request validation failed"}} • Supporting requests: POST 200</x:v>
      </x:c>
      <x:c r="K177" s="92" t="str">
        <x:v>Passed assertions; 4 recorded HTTP exchange(s); duration 756 ms. Response details in HTTP Evidence worksheet.</x:v>
      </x:c>
      <x:c r="L177" s="92" t="str">
        <x:v>HTTP Evidence rows 261–264; source: backend_report.html</x:v>
      </x:c>
      <x:c r="M177" s="93" t="n">
        <x:v>46323.253113425926</x:v>
      </x:c>
    </x:row>
    <x:row r="178" ht="31" customHeight="1">
      <x:c r="A178" s="29" t="str">
        <x:v>CREATE-011</x:v>
      </x:c>
      <x:c r="B178" s="29" t="str">
        <x:v>Create Opportunity</x:v>
      </x:c>
      <x:c r="C178" s="29" t="str">
        <x:v>POST</x:v>
      </x:c>
      <x:c r="D178" s="32" t="str">
        <x:v>/api/v1/opportunities</x:v>
      </x:c>
      <x:c r="E178" s="32" t="str">
        <x:v>Unknown category code</x:v>
      </x:c>
      <x:c r="F178" s="32" t="str">
        <x:v>422 UNKNOWN_CATEGORY</x:v>
      </x:c>
      <x:c r="G178" s="38" t="str">
        <x:v>Approved</x:v>
      </x:c>
      <x:c r="H178" s="29" t="str">
        <x:v>In scope</x:v>
      </x:c>
      <x:c r="I178" s="91" t="str">
        <x:v>Passed</x:v>
      </x:c>
      <x:c r="J178" s="92" t="str">
        <x:v>HTTP 422 (POST /api/v1/opportunities) • {"error":{"code":"UNKNOWN_CATEGORY","message":"Unknown category 'unknown-category'"}} • Supporting requests: POST 200</x:v>
      </x:c>
      <x:c r="K178" s="92" t="str">
        <x:v>Passed assertions; 2 recorded HTTP exchange(s); duration 769 ms. Response details in HTTP Evidence worksheet.</x:v>
      </x:c>
      <x:c r="L178" s="92" t="str">
        <x:v>HTTP Evidence rows 265–266; source: backend_report.html</x:v>
      </x:c>
      <x:c r="M178" s="93" t="n">
        <x:v>46323.253113425926</x:v>
      </x:c>
    </x:row>
    <x:row r="179" ht="31" customHeight="1">
      <x:c r="A179" s="29" t="str">
        <x:v>CREATE-012</x:v>
      </x:c>
      <x:c r="B179" s="29" t="str">
        <x:v>Create Opportunity</x:v>
      </x:c>
      <x:c r="C179" s="29" t="str">
        <x:v>POST</x:v>
      </x:c>
      <x:c r="D179" s="32" t="str">
        <x:v>/api/v1/opportunities</x:v>
      </x:c>
      <x:c r="E179" s="32" t="str">
        <x:v>Unknown skill code</x:v>
      </x:c>
      <x:c r="F179" s="32" t="str">
        <x:v>422 UNKNOWN_SKILL with unknown code identified</x:v>
      </x:c>
      <x:c r="G179" s="38" t="str">
        <x:v>Approved</x:v>
      </x:c>
      <x:c r="H179" s="29" t="str">
        <x:v>In scope</x:v>
      </x:c>
      <x:c r="I179" s="91" t="str">
        <x:v>Passed</x:v>
      </x:c>
      <x:c r="J179" s="92" t="str">
        <x:v>HTTP 422 (POST /api/v1/opportunities) • {"error":{"code":"UNKNOWN_SKILL","message":"Unknown skill code(s)"}} • Supporting requests: POST 200</x:v>
      </x:c>
      <x:c r="K179" s="92" t="str">
        <x:v>Passed assertions; 2 recorded HTTP exchange(s); duration 727 ms. Response details in HTTP Evidence worksheet.</x:v>
      </x:c>
      <x:c r="L179" s="92" t="str">
        <x:v>HTTP Evidence rows 267–268; source: backend_report.html</x:v>
      </x:c>
      <x:c r="M179" s="93" t="n">
        <x:v>46323.253113425926</x:v>
      </x:c>
    </x:row>
    <x:row r="180" ht="31" customHeight="1">
      <x:c r="A180" s="29" t="str">
        <x:v>CREATE-013</x:v>
      </x:c>
      <x:c r="B180" s="29" t="str">
        <x:v>Create Opportunity</x:v>
      </x:c>
      <x:c r="C180" s="29" t="str">
        <x:v>POST</x:v>
      </x:c>
      <x:c r="D180" s="32" t="str">
        <x:v>/api/v1/opportunities</x:v>
      </x:c>
      <x:c r="E180" s="32" t="str">
        <x:v>Duplicate valid skill codes</x:v>
      </x:c>
      <x:c r="F180" s="32" t="str">
        <x:v>201; duplicates de-duplicated</x:v>
      </x:c>
      <x:c r="G180" s="38" t="str">
        <x:v>Approved</x:v>
      </x:c>
      <x:c r="H180" s="29" t="str">
        <x:v>In scope</x:v>
      </x:c>
      <x:c r="I180" s="91" t="str">
        <x:v>Passed</x:v>
      </x:c>
      <x:c r="J180" s="92" t="str">
        <x:v>HTTP 201 (POST /api/v1/opportunities) • {"status":"draft","opportunity_id":20,"published_at":null,"title":"Approved API test draft","skills_count":2,"category":"knowledge"} • Supporting requests: POST 200</x:v>
      </x:c>
      <x:c r="K180" s="92" t="str">
        <x:v>Passed assertions; 2 recorded HTTP exchange(s); duration 736 ms. Response details in HTTP Evidence worksheet.</x:v>
      </x:c>
      <x:c r="L180" s="92" t="str">
        <x:v>HTTP Evidence rows 269–270; source: backend_report.html</x:v>
      </x:c>
      <x:c r="M180" s="93" t="n">
        <x:v>46323.253113425926</x:v>
      </x:c>
    </x:row>
    <x:row r="181" ht="31" customHeight="1">
      <x:c r="A181" s="29" t="str">
        <x:v>CREATE-014</x:v>
      </x:c>
      <x:c r="B181" s="29" t="str">
        <x:v>Create Opportunity</x:v>
      </x:c>
      <x:c r="C181" s="29" t="str">
        <x:v>POST</x:v>
      </x:c>
      <x:c r="D181" s="32" t="str">
        <x:v>/api/v1/opportunities</x:v>
      </x:c>
      <x:c r="E181" s="32" t="str">
        <x:v>More than 20 skill entries</x:v>
      </x:c>
      <x:c r="F181" s="32" t="str">
        <x:v>422 validation error</x:v>
      </x:c>
      <x:c r="G181" s="38" t="str">
        <x:v>Approved</x:v>
      </x:c>
      <x:c r="H181" s="29" t="str">
        <x:v>In scope</x:v>
      </x:c>
      <x:c r="I181" s="91" t="str">
        <x:v>Passed</x:v>
      </x:c>
      <x:c r="J181" s="92" t="str">
        <x:v>HTTP 422 (POST /api/v1/opportunities) • {"error":{"code":"VALIDATION_ERROR","message":"Request validation failed"}} • Supporting requests: POST 200</x:v>
      </x:c>
      <x:c r="K181" s="92" t="str">
        <x:v>Passed assertions; 2 recorded HTTP exchange(s); duration 630 ms. Response details in HTTP Evidence worksheet.</x:v>
      </x:c>
      <x:c r="L181" s="92" t="str">
        <x:v>HTTP Evidence rows 271–272; source: backend_report.html</x:v>
      </x:c>
      <x:c r="M181" s="93" t="n">
        <x:v>46323.253113425926</x:v>
      </x:c>
    </x:row>
    <x:row r="182" ht="31" customHeight="1">
      <x:c r="A182" s="29" t="str">
        <x:v>CREATE-015</x:v>
      </x:c>
      <x:c r="B182" s="29" t="str">
        <x:v>Create Opportunity</x:v>
      </x:c>
      <x:c r="C182" s="29" t="str">
        <x:v>POST</x:v>
      </x:c>
      <x:c r="D182" s="32" t="str">
        <x:v>/api/v1/opportunities</x:v>
      </x:c>
      <x:c r="E182" s="32" t="str">
        <x:v>end_date before start_date</x:v>
      </x:c>
      <x:c r="F182" s="32" t="str">
        <x:v>422 validation error</x:v>
      </x:c>
      <x:c r="G182" s="38" t="str">
        <x:v>Approved</x:v>
      </x:c>
      <x:c r="H182" s="29" t="str">
        <x:v>In scope</x:v>
      </x:c>
      <x:c r="I182" s="91" t="str">
        <x:v>Passed</x:v>
      </x:c>
      <x:c r="J182" s="92" t="str">
        <x:v>HTTP 422 (POST /api/v1/opportunities) • {"error":{"code":"VALIDATION_ERROR","message":"Request validation failed"}} • Supporting requests: POST 200</x:v>
      </x:c>
      <x:c r="K182" s="92" t="str">
        <x:v>Passed assertions; 2 recorded HTTP exchange(s); duration 661 ms. Response details in HTTP Evidence worksheet.</x:v>
      </x:c>
      <x:c r="L182" s="92" t="str">
        <x:v>HTTP Evidence rows 273–274; source: backend_report.html</x:v>
      </x:c>
      <x:c r="M182" s="93" t="n">
        <x:v>46323.253113425926</x:v>
      </x:c>
    </x:row>
    <x:row r="183" ht="31" customHeight="1">
      <x:c r="A183" s="29" t="str">
        <x:v>CREATE-016</x:v>
      </x:c>
      <x:c r="B183" s="29" t="str">
        <x:v>Create Opportunity</x:v>
      </x:c>
      <x:c r="C183" s="29" t="str">
        <x:v>POST</x:v>
      </x:c>
      <x:c r="D183" s="32" t="str">
        <x:v>/api/v1/opportunities</x:v>
      </x:c>
      <x:c r="E183" s="32" t="str">
        <x:v>Invalid hours/applicant_limit/negative compensation</x:v>
      </x:c>
      <x:c r="F183" s="32" t="str">
        <x:v>422 for each invalid variation</x:v>
      </x:c>
      <x:c r="G183" s="38" t="str">
        <x:v>Approved</x:v>
      </x:c>
      <x:c r="H183" s="29" t="str">
        <x:v>In scope</x:v>
      </x:c>
      <x:c r="I183" s="91" t="str">
        <x:v>Passed</x:v>
      </x:c>
      <x:c r="J183" s="92" t="str">
        <x:v>HTTP 422 / 422 / 422 (POST /api/v1/opportunities) • {"error":{"code":"VALIDATION_ERROR","message":"Request validation failed"}} • Supporting requests: POST 200</x:v>
      </x:c>
      <x:c r="K183" s="92" t="str">
        <x:v>Passed assertions; 4 recorded HTTP exchange(s); duration 680 ms. Response details in HTTP Evidence worksheet.</x:v>
      </x:c>
      <x:c r="L183" s="92" t="str">
        <x:v>HTTP Evidence rows 275–278; source: backend_report.html</x:v>
      </x:c>
      <x:c r="M183" s="93" t="n">
        <x:v>46323.253113425926</x:v>
      </x:c>
    </x:row>
    <x:row r="184" ht="31" customHeight="1">
      <x:c r="A184" s="29" t="str">
        <x:v>CREATE-017</x:v>
      </x:c>
      <x:c r="B184" s="29" t="str">
        <x:v>Create Opportunity</x:v>
      </x:c>
      <x:c r="C184" s="29" t="str">
        <x:v>POST</x:v>
      </x:c>
      <x:c r="D184" s="32" t="str">
        <x:v>/api/v1/opportunities</x:v>
      </x:c>
      <x:c r="E184" s="32" t="str">
        <x:v>Unsupported work_mode/compensation_type or timezone-less deadline</x:v>
      </x:c>
      <x:c r="F184" s="32" t="str">
        <x:v>422 for each invalid variation</x:v>
      </x:c>
      <x:c r="G184" s="38" t="str">
        <x:v>Approved</x:v>
      </x:c>
      <x:c r="H184" s="29" t="str">
        <x:v>In scope</x:v>
      </x:c>
      <x:c r="I184" s="91" t="str">
        <x:v>Passed</x:v>
      </x:c>
      <x:c r="J184" s="92" t="str">
        <x:v>HTTP 422 / 422 / 422 (POST /api/v1/opportunities) • {"error":{"code":"VALIDATION_ERROR","message":"Request validation failed"}} • Supporting requests: POST 200</x:v>
      </x:c>
      <x:c r="K184" s="92" t="str">
        <x:v>Passed assertions; 4 recorded HTTP exchange(s); duration 638 ms. Response details in HTTP Evidence worksheet.</x:v>
      </x:c>
      <x:c r="L184" s="92" t="str">
        <x:v>HTTP Evidence rows 279–282; source: backend_report.html</x:v>
      </x:c>
      <x:c r="M184" s="93" t="n">
        <x:v>46323.253113425926</x:v>
      </x:c>
    </x:row>
    <x:row r="185" ht="31" customHeight="1">
      <x:c r="A185" s="29" t="str">
        <x:v>CREATE-018</x:v>
      </x:c>
      <x:c r="B185" s="29" t="str">
        <x:v>Create Opportunity</x:v>
      </x:c>
      <x:c r="C185" s="29" t="str">
        <x:v>POST</x:v>
      </x:c>
      <x:c r="D185" s="32" t="str">
        <x:v>/api/v1/opportunities</x:v>
      </x:c>
      <x:c r="E185" s="32" t="str">
        <x:v>Prohibited extra fields organization_id/status/published_at</x:v>
      </x:c>
      <x:c r="F185" s="32" t="str">
        <x:v>422; cannot override ownership/state</x:v>
      </x:c>
      <x:c r="G185" s="38" t="str">
        <x:v>Approved</x:v>
      </x:c>
      <x:c r="H185" s="29" t="str">
        <x:v>In scope</x:v>
      </x:c>
      <x:c r="I185" s="91" t="str">
        <x:v>Passed</x:v>
      </x:c>
      <x:c r="J185" s="92" t="str">
        <x:v>HTTP 422 / 422 / 422 (POST /api/v1/opportunities) • {"error":{"code":"VALIDATION_ERROR","message":"Request validation failed"}} • Supporting requests: POST 200</x:v>
      </x:c>
      <x:c r="K185" s="92" t="str">
        <x:v>Passed assertions; 4 recorded HTTP exchange(s); duration 759 ms. Response details in HTTP Evidence worksheet.</x:v>
      </x:c>
      <x:c r="L185" s="92" t="str">
        <x:v>HTTP Evidence rows 283–286; source: backend_report.html</x:v>
      </x:c>
      <x:c r="M185" s="93" t="n">
        <x:v>46323.253113425926</x:v>
      </x:c>
    </x:row>
    <x:row r="186" ht="31" customHeight="1">
      <x:c r="A186" s="29" t="str">
        <x:v>PATCH-001</x:v>
      </x:c>
      <x:c r="B186" s="29" t="str">
        <x:v>Update Opportunity</x:v>
      </x:c>
      <x:c r="C186" s="29" t="str">
        <x:v>PATCH</x:v>
      </x:c>
      <x:c r="D186" s="32" t="str">
        <x:v>/api/v1/opportunities/{opportunity_id}</x:v>
      </x:c>
      <x:c r="E186" s="32" t="str">
        <x:v>Creator updates title on own draft</x:v>
      </x:c>
      <x:c r="F186" s="32" t="str">
        <x:v>200; title updated; other fields unchanged; draft remains</x:v>
      </x:c>
      <x:c r="G186" s="38" t="str">
        <x:v>Approved</x:v>
      </x:c>
      <x:c r="H186" s="29" t="str">
        <x:v>In scope</x:v>
      </x:c>
      <x:c r="I186" s="91" t="str">
        <x:v>Passed</x:v>
      </x:c>
      <x:c r="J186" s="92" t="str">
        <x:v>HTTP 200 (PATCH /api/v1/opportunities/21) • {"status":"draft","opportunity_id":21,"published_at":null,"title":"Approved QA Updated Title","skills_count":2,"category":"community"} • Supporting requests: POST 200, POST 201, GET 200, GET 200</x:v>
      </x:c>
      <x:c r="K186" s="92" t="str">
        <x:v>Passed assertions; 5 recorded HTTP exchange(s); duration 995 ms. Response details in HTTP Evidence worksheet.</x:v>
      </x:c>
      <x:c r="L186" s="92" t="str">
        <x:v>HTTP Evidence rows 287–291; source: backend_report.html</x:v>
      </x:c>
      <x:c r="M186" s="93" t="n">
        <x:v>46323.253113425926</x:v>
      </x:c>
    </x:row>
    <x:row r="187" ht="31" customHeight="1">
      <x:c r="A187" s="29" t="str">
        <x:v>PATCH-002</x:v>
      </x:c>
      <x:c r="B187" s="29" t="str">
        <x:v>Update Opportunity</x:v>
      </x:c>
      <x:c r="C187" s="29" t="str">
        <x:v>PATCH</x:v>
      </x:c>
      <x:c r="D187" s="32" t="str">
        <x:v>/api/v1/opportunities/{opportunity_id}</x:v>
      </x:c>
      <x:c r="E187" s="32" t="str">
        <x:v>Creator updates description/hours/work_mode together</x:v>
      </x:c>
      <x:c r="F187" s="32" t="str">
        <x:v>200; all specified fields updated</x:v>
      </x:c>
      <x:c r="G187" s="38" t="str">
        <x:v>Approved</x:v>
      </x:c>
      <x:c r="H187" s="29" t="str">
        <x:v>In scope</x:v>
      </x:c>
      <x:c r="I187" s="91" t="str">
        <x:v>Passed</x:v>
      </x:c>
      <x:c r="J187" s="92" t="str">
        <x:v>HTTP 200 (PATCH /api/v1/opportunities/22) • {"status":"draft","opportunity_id":22,"published_at":null,"title":"Approved QA Inventory Project","skills_count":2,"category":"community"} • Supporting requests: POST 200, POST 201, GET 200</x:v>
      </x:c>
      <x:c r="K187" s="92" t="str">
        <x:v>Passed assertions; 4 recorded HTTP exchange(s); duration 779 ms. Response details in HTTP Evidence worksheet.</x:v>
      </x:c>
      <x:c r="L187" s="92" t="str">
        <x:v>HTTP Evidence rows 292–295; source: backend_report.html</x:v>
      </x:c>
      <x:c r="M187" s="93" t="n">
        <x:v>46323.253113425926</x:v>
      </x:c>
    </x:row>
    <x:row r="188" ht="31" customHeight="1">
      <x:c r="A188" s="29" t="str">
        <x:v>PATCH-003</x:v>
      </x:c>
      <x:c r="B188" s="29" t="str">
        <x:v>Update Opportunity</x:v>
      </x:c>
      <x:c r="C188" s="29" t="str">
        <x:v>PATCH</x:v>
      </x:c>
      <x:c r="D188" s="32" t="str">
        <x:v>/api/v1/opportunities/{opportunity_id}</x:v>
      </x:c>
      <x:c r="E188" s="32" t="str">
        <x:v>Creator changes valid category and skills</x:v>
      </x:c>
      <x:c r="F188" s="32" t="str">
        <x:v>200; updated category/skills present</x:v>
      </x:c>
      <x:c r="G188" s="38" t="str">
        <x:v>Approved</x:v>
      </x:c>
      <x:c r="H188" s="29" t="str">
        <x:v>In scope</x:v>
      </x:c>
      <x:c r="I188" s="91" t="str">
        <x:v>Passed</x:v>
      </x:c>
      <x:c r="J188" s="92" t="str">
        <x:v>HTTP 200 (PATCH /api/v1/opportunities/23) • {"status":"draft","opportunity_id":23,"published_at":null,"title":"Approved QA Inventory Project","skills_count":2,"category":"knowledge"} • Supporting requests: POST 200, POST 201</x:v>
      </x:c>
      <x:c r="K188" s="92" t="str">
        <x:v>Passed assertions; 3 recorded HTTP exchange(s); duration 821 ms. Response details in HTTP Evidence worksheet.</x:v>
      </x:c>
      <x:c r="L188" s="92" t="str">
        <x:v>HTTP Evidence rows 296–298; source: backend_report.html</x:v>
      </x:c>
      <x:c r="M188" s="93" t="n">
        <x:v>46323.253113425926</x:v>
      </x:c>
    </x:row>
    <x:row r="189" ht="31" customHeight="1">
      <x:c r="A189" s="29" t="str">
        <x:v>PATCH-004</x:v>
      </x:c>
      <x:c r="B189" s="29" t="str">
        <x:v>Update Opportunity</x:v>
      </x:c>
      <x:c r="C189" s="29" t="str">
        <x:v>PATCH</x:v>
      </x:c>
      <x:c r="D189" s="32" t="str">
        <x:v>/api/v1/opportunities/{opportunity_id}</x:v>
      </x:c>
      <x:c r="E189" s="32" t="str">
        <x:v>PATCH without authentication</x:v>
      </x:c>
      <x:c r="F189" s="32" t="str">
        <x:v>401; rejected</x:v>
      </x:c>
      <x:c r="G189" s="38" t="str">
        <x:v>Approved</x:v>
      </x:c>
      <x:c r="H189" s="29" t="str">
        <x:v>In scope</x:v>
      </x:c>
      <x:c r="I189" s="91" t="str">
        <x:v>Passed</x:v>
      </x:c>
      <x:c r="J189" s="92" t="str">
        <x:v>HTTP 401 (PATCH /api/v1/opportunities/24) • {"error":{"code":"AUTH_REQUIRED","message":"Authentication required"}} • Supporting requests: POST 200, POST 201</x:v>
      </x:c>
      <x:c r="K189" s="92" t="str">
        <x:v>Passed assertions; 3 recorded HTTP exchange(s); duration 787 ms. Response details in HTTP Evidence worksheet.</x:v>
      </x:c>
      <x:c r="L189" s="92" t="str">
        <x:v>HTTP Evidence rows 299–301; source: backend_report.html</x:v>
      </x:c>
      <x:c r="M189" s="93" t="n">
        <x:v>46323.253113425926</x:v>
      </x:c>
    </x:row>
    <x:row r="190" ht="31" customHeight="1">
      <x:c r="A190" s="29" t="str">
        <x:v>PATCH-005</x:v>
      </x:c>
      <x:c r="B190" s="29" t="str">
        <x:v>Update Opportunity</x:v>
      </x:c>
      <x:c r="C190" s="29" t="str">
        <x:v>PATCH</x:v>
      </x:c>
      <x:c r="D190" s="32" t="str">
        <x:v>/api/v1/opportunities/{opportunity_id}</x:v>
      </x:c>
      <x:c r="E190" s="32" t="str">
        <x:v>Contributor attempts PATCH</x:v>
      </x:c>
      <x:c r="F190" s="32" t="str">
        <x:v>403 forbidden</x:v>
      </x:c>
      <x:c r="G190" s="38" t="str">
        <x:v>Approved</x:v>
      </x:c>
      <x:c r="H190" s="29" t="str">
        <x:v>In scope</x:v>
      </x:c>
      <x:c r="I190" s="91" t="str">
        <x:v>Passed</x:v>
      </x:c>
      <x:c r="J190" s="92" t="str">
        <x:v>HTTP 403 (PATCH /api/v1/opportunities/25) • {"error":{"code":"ROLE_FORBIDDEN","message":"This action requires role: creator"}} • Supporting requests: POST 200, POST 201, POST 200</x:v>
      </x:c>
      <x:c r="K190" s="92" t="str">
        <x:v>Passed assertions; 4 recorded HTTP exchange(s); duration 00:00:01. Response details in HTTP Evidence worksheet.</x:v>
      </x:c>
      <x:c r="L190" s="92" t="str">
        <x:v>HTTP Evidence rows 302–305; source: backend_report.html</x:v>
      </x:c>
      <x:c r="M190" s="93" t="n">
        <x:v>46323.253113425926</x:v>
      </x:c>
    </x:row>
    <x:row r="191" ht="31" customHeight="1">
      <x:c r="A191" s="29" t="str">
        <x:v>PATCH-006</x:v>
      </x:c>
      <x:c r="B191" s="29" t="str">
        <x:v>Update Opportunity</x:v>
      </x:c>
      <x:c r="C191" s="29" t="str">
        <x:v>PATCH</x:v>
      </x:c>
      <x:c r="D191" s="32" t="str">
        <x:v>/api/v1/opportunities/{opportunity_id}</x:v>
      </x:c>
      <x:c r="E191" s="32" t="str">
        <x:v>Creator updates another Creator's draft</x:v>
      </x:c>
      <x:c r="F191" s="32" t="str">
        <x:v>404 OPPORTUNITY_NOT_FOUND</x:v>
      </x:c>
      <x:c r="G191" s="38" t="str">
        <x:v>Approved</x:v>
      </x:c>
      <x:c r="H191" s="29" t="str">
        <x:v>In scope</x:v>
      </x:c>
      <x:c r="I191" s="91" t="str">
        <x:v>Passed</x:v>
      </x:c>
      <x:c r="J191" s="92" t="str">
        <x:v>HTTP 404 (PATCH /api/v1/opportunities/26) • {"error":{"code":"OPPORTUNITY_NOT_FOUND","message":"Opportunity not found"}} • Supporting requests: POST 200, POST 201, POST 200</x:v>
      </x:c>
      <x:c r="K191" s="92" t="str">
        <x:v>Passed assertions; 4 recorded HTTP exchange(s); duration 00:00:01. Response details in HTTP Evidence worksheet.</x:v>
      </x:c>
      <x:c r="L191" s="92" t="str">
        <x:v>HTTP Evidence rows 306–309; source: backend_report.html</x:v>
      </x:c>
      <x:c r="M191" s="93" t="n">
        <x:v>46323.253113425926</x:v>
      </x:c>
    </x:row>
    <x:row r="192" ht="31" customHeight="1">
      <x:c r="A192" s="29" t="str">
        <x:v>PATCH-007</x:v>
      </x:c>
      <x:c r="B192" s="29" t="str">
        <x:v>Update Opportunity</x:v>
      </x:c>
      <x:c r="C192" s="29" t="str">
        <x:v>PATCH</x:v>
      </x:c>
      <x:c r="D192" s="32" t="str">
        <x:v>/api/v1/opportunities/{opportunity_id}</x:v>
      </x:c>
      <x:c r="E192" s="32" t="str">
        <x:v>Owner attempts to update published opportunity</x:v>
      </x:c>
      <x:c r="F192" s="32" t="str">
        <x:v>409 OPPORTUNITY_NOT_DRAFT; unchanged</x:v>
      </x:c>
      <x:c r="G192" s="38" t="str">
        <x:v>Approved</x:v>
      </x:c>
      <x:c r="H192" s="29" t="str">
        <x:v>In scope</x:v>
      </x:c>
      <x:c r="I192" s="91" t="str">
        <x:v>Passed</x:v>
      </x:c>
      <x:c r="J192" s="92" t="str">
        <x:v>HTTP 409 (PATCH /api/v1/opportunities/27) • {"error":{"code":"OPPORTUNITY_NOT_DRAFT","message":"Only draft opportunities can be edited"}} • Supporting requests: POST 200, POST 201, POST 200, GET 200</x:v>
      </x:c>
      <x:c r="K192" s="92" t="str">
        <x:v>Passed assertions; 5 recorded HTTP exchange(s); duration 907 ms. Response details in HTTP Evidence worksheet.</x:v>
      </x:c>
      <x:c r="L192" s="92" t="str">
        <x:v>HTTP Evidence rows 310–314; source: backend_report.html</x:v>
      </x:c>
      <x:c r="M192" s="93" t="n">
        <x:v>46323.253113425926</x:v>
      </x:c>
    </x:row>
    <x:row r="193" ht="31" customHeight="1">
      <x:c r="A193" s="29" t="str">
        <x:v>PATCH-008</x:v>
      </x:c>
      <x:c r="B193" s="29" t="str">
        <x:v>Update Opportunity</x:v>
      </x:c>
      <x:c r="C193" s="29" t="str">
        <x:v>PATCH</x:v>
      </x:c>
      <x:c r="D193" s="32" t="str">
        <x:v>/api/v1/opportunities/{opportunity_id}</x:v>
      </x:c>
      <x:c r="E193" s="32" t="str">
        <x:v>PATCH nonexistent opportunity ID</x:v>
      </x:c>
      <x:c r="F193" s="32" t="str">
        <x:v>404 OPPORTUNITY_NOT_FOUND</x:v>
      </x:c>
      <x:c r="G193" s="38" t="str">
        <x:v>Approved</x:v>
      </x:c>
      <x:c r="H193" s="29" t="str">
        <x:v>In scope</x:v>
      </x:c>
      <x:c r="I193" s="91" t="str">
        <x:v>Passed</x:v>
      </x:c>
      <x:c r="J193" s="92" t="str">
        <x:v>HTTP 404 (PATCH /api/v1/opportunities/999999) • {"error":{"code":"OPPORTUNITY_NOT_FOUND","message":"Opportunity not found"}} • Supporting requests: POST 200, POST 201</x:v>
      </x:c>
      <x:c r="K193" s="92" t="str">
        <x:v>Passed assertions; 3 recorded HTTP exchange(s); duration 740 ms. Response details in HTTP Evidence worksheet.</x:v>
      </x:c>
      <x:c r="L193" s="92" t="str">
        <x:v>HTTP Evidence rows 315–317; source: backend_report.html</x:v>
      </x:c>
      <x:c r="M193" s="93" t="n">
        <x:v>46323.253113425926</x:v>
      </x:c>
    </x:row>
    <x:row r="194" ht="31" customHeight="1">
      <x:c r="A194" s="29" t="str">
        <x:v>PATCH-009</x:v>
      </x:c>
      <x:c r="B194" s="29" t="str">
        <x:v>Update Opportunity</x:v>
      </x:c>
      <x:c r="C194" s="29" t="str">
        <x:v>PATCH</x:v>
      </x:c>
      <x:c r="D194" s="32" t="str">
        <x:v>/api/v1/opportunities/{opportunity_id}</x:v>
      </x:c>
      <x:c r="E194" s="32" t="str">
        <x:v>Explicit null for required field such as title</x:v>
      </x:c>
      <x:c r="F194" s="32" t="str">
        <x:v>422 validation error</x:v>
      </x:c>
      <x:c r="G194" s="38" t="str">
        <x:v>Approved</x:v>
      </x:c>
      <x:c r="H194" s="29" t="str">
        <x:v>In scope</x:v>
      </x:c>
      <x:c r="I194" s="91" t="str">
        <x:v>Passed</x:v>
      </x:c>
      <x:c r="J194" s="92" t="str">
        <x:v>HTTP 422 (PATCH /api/v1/opportunities/29) • {"error":{"code":"VALIDATION_ERROR","message":"Request validation failed"}} • Supporting requests: POST 200, POST 201</x:v>
      </x:c>
      <x:c r="K194" s="92" t="str">
        <x:v>Passed assertions; 3 recorded HTTP exchange(s); duration 980 ms. Response details in HTTP Evidence worksheet.</x:v>
      </x:c>
      <x:c r="L194" s="92" t="str">
        <x:v>HTTP Evidence rows 318–320; source: backend_report.html</x:v>
      </x:c>
      <x:c r="M194" s="93" t="n">
        <x:v>46323.253113425926</x:v>
      </x:c>
    </x:row>
    <x:row r="195" ht="31" customHeight="1">
      <x:c r="A195" s="29" t="str">
        <x:v>PATCH-010</x:v>
      </x:c>
      <x:c r="B195" s="29" t="str">
        <x:v>Update Opportunity</x:v>
      </x:c>
      <x:c r="C195" s="29" t="str">
        <x:v>PATCH</x:v>
      </x:c>
      <x:c r="D195" s="32" t="str">
        <x:v>/api/v1/opportunities/{opportunity_id}</x:v>
      </x:c>
      <x:c r="E195" s="32" t="str">
        <x:v>Update end_date to before existing start_date</x:v>
      </x:c>
      <x:c r="F195" s="32" t="str">
        <x:v>422 invalid dates; rejected</x:v>
      </x:c>
      <x:c r="G195" s="38" t="str">
        <x:v>Approved</x:v>
      </x:c>
      <x:c r="H195" s="29" t="str">
        <x:v>In scope</x:v>
      </x:c>
      <x:c r="I195" s="91" t="str">
        <x:v>Passed</x:v>
      </x:c>
      <x:c r="J195" s="92" t="str">
        <x:v>HTTP 422 (PATCH /api/v1/opportunities/30) • {"error":{"code":"INVALID_DATES","message":"end_date must be on or after start_date"}} • Supporting requests: POST 200, POST 201, GET 200</x:v>
      </x:c>
      <x:c r="K195" s="92" t="str">
        <x:v>Passed assertions; 4 recorded HTTP exchange(s); duration 921 ms. Response details in HTTP Evidence worksheet.</x:v>
      </x:c>
      <x:c r="L195" s="92" t="str">
        <x:v>HTTP Evidence rows 321–324; source: backend_report.html</x:v>
      </x:c>
      <x:c r="M195" s="93" t="n">
        <x:v>46323.253113425926</x:v>
      </x:c>
    </x:row>
    <x:row r="196" ht="31" customHeight="1">
      <x:c r="A196" s="29" t="str">
        <x:v>PUB-001</x:v>
      </x:c>
      <x:c r="B196" s="29" t="str">
        <x:v>Publish Opportunity</x:v>
      </x:c>
      <x:c r="C196" s="29" t="str">
        <x:v>POST</x:v>
      </x:c>
      <x:c r="D196" s="32" t="str">
        <x:v>/api/v1/opportunities/{opportunity_id}/publish</x:v>
      </x:c>
      <x:c r="E196" s="32" t="str">
        <x:v>Creator publishes own complete draft</x:v>
      </x:c>
      <x:c r="F196" s="32" t="str">
        <x:v>200; status=open; published_at set; publicly browsable</x:v>
      </x:c>
      <x:c r="G196" s="38" t="str">
        <x:v>Approved</x:v>
      </x:c>
      <x:c r="H196" s="29" t="str">
        <x:v>In scope</x:v>
      </x:c>
      <x:c r="I196" s="91" t="str">
        <x:v>Passed</x:v>
      </x:c>
      <x:c r="J196" s="92" t="str">
        <x:v>HTTP 200 (POST /api/v1/opportunities/31/publish) • {"status":"open","opportunity_id":31,"published_at":"2026-10-16T12:00:00Z","title":"Approved QA Inventory Project","skills_count":2,"category":"community"} • Supporting requests: POST 200, POST 201, GET 200, GET 200</x:v>
      </x:c>
      <x:c r="K196" s="92" t="str">
        <x:v>Passed assertions; 5 recorded HTTP exchange(s); duration 959 ms. Response details in HTTP Evidence worksheet.</x:v>
      </x:c>
      <x:c r="L196" s="92" t="str">
        <x:v>HTTP Evidence rows 325–329; source: backend_report.html</x:v>
      </x:c>
      <x:c r="M196" s="93" t="n">
        <x:v>46323.253113425926</x:v>
      </x:c>
    </x:row>
    <x:row r="197" ht="31" customHeight="1">
      <x:c r="A197" s="29" t="str">
        <x:v>PUB-002</x:v>
      </x:c>
      <x:c r="B197" s="29" t="str">
        <x:v>Publish Opportunity</x:v>
      </x:c>
      <x:c r="C197" s="29" t="str">
        <x:v>POST</x:v>
      </x:c>
      <x:c r="D197" s="32" t="str">
        <x:v>/api/v1/opportunities/{opportunity_id}/publish</x:v>
      </x:c>
      <x:c r="E197" s="32" t="str">
        <x:v>Publish incomplete draft</x:v>
      </x:c>
      <x:c r="F197" s="32" t="str">
        <x:v>422 OPPORTUNITY_INCOMPLETE with missing fields; remains draft</x:v>
      </x:c>
      <x:c r="G197" s="38" t="str">
        <x:v>Approved</x:v>
      </x:c>
      <x:c r="H197" s="29" t="str">
        <x:v>In scope</x:v>
      </x:c>
      <x:c r="I197" s="91" t="str">
        <x:v>Passed</x:v>
      </x:c>
      <x:c r="J197" s="92" t="str">
        <x:v>HTTP 422 (POST /api/v1/opportunities/14/publish) • {"error":{"code":"OPPORTUNITY_INCOMPLETE","message":"Opportunity is missing mandatory information"}} • Supporting requests: POST 200, GET 200</x:v>
      </x:c>
      <x:c r="K197" s="92" t="str">
        <x:v>Passed assertions; 3 recorded HTTP exchange(s); duration 732 ms. Response details in HTTP Evidence worksheet.</x:v>
      </x:c>
      <x:c r="L197" s="92" t="str">
        <x:v>HTTP Evidence rows 330–332; source: backend_report.html</x:v>
      </x:c>
      <x:c r="M197" s="93" t="n">
        <x:v>46323.253113425926</x:v>
      </x:c>
    </x:row>
    <x:row r="198" ht="31" customHeight="1">
      <x:c r="A198" s="29" t="str">
        <x:v>PUB-003</x:v>
      </x:c>
      <x:c r="B198" s="29" t="str">
        <x:v>Publish Opportunity</x:v>
      </x:c>
      <x:c r="C198" s="29" t="str">
        <x:v>POST</x:v>
      </x:c>
      <x:c r="D198" s="32" t="str">
        <x:v>/api/v1/opportunities/{opportunity_id}/publish</x:v>
      </x:c>
      <x:c r="E198" s="32" t="str">
        <x:v>Publish paid/stipend without compensation_amount</x:v>
      </x:c>
      <x:c r="F198" s="32" t="str">
        <x:v>422 OPPORTUNITY_INCOMPLETE</x:v>
      </x:c>
      <x:c r="G198" s="38" t="str">
        <x:v>Approved</x:v>
      </x:c>
      <x:c r="H198" s="29" t="str">
        <x:v>In scope</x:v>
      </x:c>
      <x:c r="I198" s="91" t="str">
        <x:v>Passed</x:v>
      </x:c>
      <x:c r="J198" s="92" t="str">
        <x:v>HTTP 422 / 422 (POST /api/v1/opportunities/33/publish) • {"error":{"code":"OPPORTUNITY_INCOMPLETE","message":"Opportunity is missing mandatory information"}} • Supporting requests: POST 200, POST 201, POST 201</x:v>
      </x:c>
      <x:c r="K198" s="92" t="str">
        <x:v>Passed assertions; 5 recorded HTTP exchange(s); duration 00:00:01. Response details in HTTP Evidence worksheet.</x:v>
      </x:c>
      <x:c r="L198" s="92" t="str">
        <x:v>HTTP Evidence rows 333–337; source: backend_report.html</x:v>
      </x:c>
      <x:c r="M198" s="93" t="n">
        <x:v>46323.253113425926</x:v>
      </x:c>
    </x:row>
    <x:row r="199" ht="31" customHeight="1">
      <x:c r="A199" s="29" t="str">
        <x:v>PUB-004</x:v>
      </x:c>
      <x:c r="B199" s="29" t="str">
        <x:v>Publish Opportunity</x:v>
      </x:c>
      <x:c r="C199" s="29" t="str">
        <x:v>POST</x:v>
      </x:c>
      <x:c r="D199" s="32" t="str">
        <x:v>/api/v1/opportunities/{opportunity_id}/publish</x:v>
      </x:c>
      <x:c r="E199" s="32" t="str">
        <x:v>Publish complete unpaid draft without compensation_amount</x:v>
      </x:c>
      <x:c r="F199" s="32" t="str">
        <x:v>200; succeeds</x:v>
      </x:c>
      <x:c r="G199" s="38" t="str">
        <x:v>Approved</x:v>
      </x:c>
      <x:c r="H199" s="29" t="str">
        <x:v>In scope</x:v>
      </x:c>
      <x:c r="I199" s="91" t="str">
        <x:v>Passed</x:v>
      </x:c>
      <x:c r="J199" s="92" t="str">
        <x:v>HTTP 200 (POST /api/v1/opportunities/34/publish) • {"status":"open","opportunity_id":34,"published_at":"2026-10-16T12:00:00Z","title":"Approved QA Inventory Project","skills_count":2,"category":"community"} • Supporting requests: POST 200, POST 201</x:v>
      </x:c>
      <x:c r="K199" s="92" t="str">
        <x:v>Passed assertions; 3 recorded HTTP exchange(s); duration 837 ms. Response details in HTTP Evidence worksheet.</x:v>
      </x:c>
      <x:c r="L199" s="92" t="str">
        <x:v>HTTP Evidence rows 338–340; source: backend_report.html</x:v>
      </x:c>
      <x:c r="M199" s="93" t="n">
        <x:v>46323.253113425926</x:v>
      </x:c>
    </x:row>
    <x:row r="200" ht="31" customHeight="1">
      <x:c r="A200" s="29" t="str">
        <x:v>PUB-005</x:v>
      </x:c>
      <x:c r="B200" s="29" t="str">
        <x:v>Publish Opportunity</x:v>
      </x:c>
      <x:c r="C200" s="29" t="str">
        <x:v>POST</x:v>
      </x:c>
      <x:c r="D200" s="32" t="str">
        <x:v>/api/v1/opportunities/{opportunity_id}/publish</x:v>
      </x:c>
      <x:c r="E200" s="32" t="str">
        <x:v>Publish complete draft with past application deadline</x:v>
      </x:c>
      <x:c r="F200" s="32" t="str">
        <x:v>422 DEADLINE_PASSED; remains draft</x:v>
      </x:c>
      <x:c r="G200" s="38" t="str">
        <x:v>Approved</x:v>
      </x:c>
      <x:c r="H200" s="29" t="str">
        <x:v>In scope</x:v>
      </x:c>
      <x:c r="I200" s="91" t="str">
        <x:v>Passed</x:v>
      </x:c>
      <x:c r="J200" s="92" t="str">
        <x:v>HTTP 422 (POST /api/v1/opportunities/35/publish) • {"error":{"code":"DEADLINE_PASSED","message":"application_deadline must be in the future"}} • Supporting requests: POST 200, POST 201, GET 200</x:v>
      </x:c>
      <x:c r="K200" s="92" t="str">
        <x:v>Passed assertions; 4 recorded HTTP exchange(s); duration 770 ms. Response details in HTTP Evidence worksheet.</x:v>
      </x:c>
      <x:c r="L200" s="92" t="str">
        <x:v>HTTP Evidence rows 341–344; source: backend_report.html</x:v>
      </x:c>
      <x:c r="M200" s="93" t="n">
        <x:v>46323.253113425926</x:v>
      </x:c>
    </x:row>
    <x:row r="201" ht="31" customHeight="1">
      <x:c r="A201" s="29" t="str">
        <x:v>PUB-006</x:v>
      </x:c>
      <x:c r="B201" s="29" t="str">
        <x:v>Publish Opportunity</x:v>
      </x:c>
      <x:c r="C201" s="29" t="str">
        <x:v>POST</x:v>
      </x:c>
      <x:c r="D201" s="32" t="str">
        <x:v>/api/v1/opportunities/{opportunity_id}/publish</x:v>
      </x:c>
      <x:c r="E201" s="32" t="str">
        <x:v>Publish without JWT</x:v>
      </x:c>
      <x:c r="F201" s="32" t="str">
        <x:v>401 AUTH_REQUIRED; rejected</x:v>
      </x:c>
      <x:c r="G201" s="38" t="str">
        <x:v>Approved</x:v>
      </x:c>
      <x:c r="H201" s="29" t="str">
        <x:v>In scope</x:v>
      </x:c>
      <x:c r="I201" s="91" t="str">
        <x:v>Passed</x:v>
      </x:c>
      <x:c r="J201" s="92" t="str">
        <x:v>HTTP 401 (POST /api/v1/opportunities/14/publish) • {"error":{"code":"AUTH_REQUIRED","message":"Authentication required"}} • Supporting requests: POST 200</x:v>
      </x:c>
      <x:c r="K201" s="92" t="str">
        <x:v>Passed assertions; 2 recorded HTTP exchange(s); duration 610 ms. Response details in HTTP Evidence worksheet.</x:v>
      </x:c>
      <x:c r="L201" s="92" t="str">
        <x:v>HTTP Evidence rows 345–346; source: backend_report.html</x:v>
      </x:c>
      <x:c r="M201" s="93" t="n">
        <x:v>46323.253113425926</x:v>
      </x:c>
    </x:row>
    <x:row r="202" ht="31" customHeight="1">
      <x:c r="A202" s="29" t="str">
        <x:v>PUB-007</x:v>
      </x:c>
      <x:c r="B202" s="29" t="str">
        <x:v>Publish Opportunity</x:v>
      </x:c>
      <x:c r="C202" s="29" t="str">
        <x:v>POST</x:v>
      </x:c>
      <x:c r="D202" s="32" t="str">
        <x:v>/api/v1/opportunities/{opportunity_id}/publish</x:v>
      </x:c>
      <x:c r="E202" s="32" t="str">
        <x:v>Contributor/Admin attempts publish</x:v>
      </x:c>
      <x:c r="F202" s="32" t="str">
        <x:v>403 ROLE_FORBIDDEN</x:v>
      </x:c>
      <x:c r="G202" s="38" t="str">
        <x:v>Approved</x:v>
      </x:c>
      <x:c r="H202" s="29" t="str">
        <x:v>In scope</x:v>
      </x:c>
      <x:c r="I202" s="91" t="str">
        <x:v>Passed</x:v>
      </x:c>
      <x:c r="J202" s="92" t="str">
        <x:v>HTTP 403 / 403 (POST /api/v1/opportunities/14/publish) • {"error":{"code":"ROLE_FORBIDDEN","message":"This action requires role: creator"}} • Supporting requests: POST 200, POST 200, POST 200</x:v>
      </x:c>
      <x:c r="K202" s="92" t="str">
        <x:v>Passed assertions; 5 recorded HTTP exchange(s); duration 00:00:01. Response details in HTTP Evidence worksheet.</x:v>
      </x:c>
      <x:c r="L202" s="92" t="str">
        <x:v>HTTP Evidence rows 347–351; source: backend_report.html</x:v>
      </x:c>
      <x:c r="M202" s="93" t="n">
        <x:v>46323.253113425926</x:v>
      </x:c>
    </x:row>
    <x:row r="203" ht="31" customHeight="1">
      <x:c r="A203" s="29" t="str">
        <x:v>PUB-008</x:v>
      </x:c>
      <x:c r="B203" s="29" t="str">
        <x:v>Publish Opportunity</x:v>
      </x:c>
      <x:c r="C203" s="29" t="str">
        <x:v>POST</x:v>
      </x:c>
      <x:c r="D203" s="32" t="str">
        <x:v>/api/v1/opportunities/{opportunity_id}/publish</x:v>
      </x:c>
      <x:c r="E203" s="32" t="str">
        <x:v>Publish other Creator's draft</x:v>
      </x:c>
      <x:c r="F203" s="32" t="str">
        <x:v>404 OPPORTUNITY_NOT_FOUND</x:v>
      </x:c>
      <x:c r="G203" s="38" t="str">
        <x:v>Approved</x:v>
      </x:c>
      <x:c r="H203" s="29" t="str">
        <x:v>In scope</x:v>
      </x:c>
      <x:c r="I203" s="91" t="str">
        <x:v>Passed</x:v>
      </x:c>
      <x:c r="J203" s="92" t="str">
        <x:v>HTTP 404 (POST /api/v1/opportunities/14/publish) • {"error":{"code":"OPPORTUNITY_NOT_FOUND","message":"Opportunity not found"}} • Supporting requests: POST 200, POST 200</x:v>
      </x:c>
      <x:c r="K203" s="92" t="str">
        <x:v>Passed assertions; 3 recorded HTTP exchange(s); duration 00:00:01. Response details in HTTP Evidence worksheet.</x:v>
      </x:c>
      <x:c r="L203" s="92" t="str">
        <x:v>HTTP Evidence rows 352–354; source: backend_report.html</x:v>
      </x:c>
      <x:c r="M203" s="93" t="n">
        <x:v>46323.253113425926</x:v>
      </x:c>
    </x:row>
    <x:row r="204" ht="31" customHeight="1">
      <x:c r="A204" s="29" t="str">
        <x:v>PUB-009</x:v>
      </x:c>
      <x:c r="B204" s="29" t="str">
        <x:v>Publish Opportunity</x:v>
      </x:c>
      <x:c r="C204" s="29" t="str">
        <x:v>POST</x:v>
      </x:c>
      <x:c r="D204" s="32" t="str">
        <x:v>/api/v1/opportunities/{opportunity_id}/publish</x:v>
      </x:c>
      <x:c r="E204" s="32" t="str">
        <x:v>Publish same opportunity twice</x:v>
      </x:c>
      <x:c r="F204" s="32" t="str">
        <x:v>First 200, second 409 OPPORTUNITY_NOT_DRAFT</x:v>
      </x:c>
      <x:c r="G204" s="38" t="str">
        <x:v>Approved</x:v>
      </x:c>
      <x:c r="H204" s="29" t="str">
        <x:v>In scope</x:v>
      </x:c>
      <x:c r="I204" s="91" t="str">
        <x:v>Passed</x:v>
      </x:c>
      <x:c r="J204" s="92" t="str">
        <x:v>HTTP 200 / 409 (POST /api/v1/opportunities/36/publish) • {"error":{"code":"OPPORTUNITY_NOT_DRAFT","message":"Only draft opportunities can be published"}} • Supporting requests: POST 200, POST 201</x:v>
      </x:c>
      <x:c r="K204" s="92" t="str">
        <x:v>Passed assertions; 4 recorded HTTP exchange(s); duration 00:00:01. Response details in HTTP Evidence worksheet.</x:v>
      </x:c>
      <x:c r="L204" s="92" t="str">
        <x:v>HTTP Evidence rows 355–358; source: backend_report.html</x:v>
      </x:c>
      <x:c r="M204" s="93" t="n">
        <x:v>46323.253113425926</x:v>
      </x:c>
    </x:row>
    <x:row r="205" ht="31" customHeight="1">
      <x:c r="A205" s="29" t="str">
        <x:v>PUB-010</x:v>
      </x:c>
      <x:c r="B205" s="29" t="str">
        <x:v>Publish Opportunity</x:v>
      </x:c>
      <x:c r="C205" s="29" t="str">
        <x:v>POST</x:v>
      </x:c>
      <x:c r="D205" s="32" t="str">
        <x:v>/api/v1/opportunities/{opportunity_id}/publish</x:v>
      </x:c>
      <x:c r="E205" s="32" t="str">
        <x:v>Publish nonexistent opportunity</x:v>
      </x:c>
      <x:c r="F205" s="32" t="str">
        <x:v>404 OPPORTUNITY_NOT_FOUND</x:v>
      </x:c>
      <x:c r="G205" s="38" t="str">
        <x:v>Approved</x:v>
      </x:c>
      <x:c r="H205" s="29" t="str">
        <x:v>In scope</x:v>
      </x:c>
      <x:c r="I205" s="91" t="str">
        <x:v>Passed</x:v>
      </x:c>
      <x:c r="J205" s="92" t="str">
        <x:v>HTTP 404 (POST /api/v1/opportunities/999999/publish) • {"error":{"code":"OPPORTUNITY_NOT_FOUND","message":"Opportunity not found"}} • Supporting requests: POST 200</x:v>
      </x:c>
      <x:c r="K205" s="92" t="str">
        <x:v>Passed assertions; 2 recorded HTTP exchange(s); duration 644 ms. Response details in HTTP Evidence worksheet.</x:v>
      </x:c>
      <x:c r="L205" s="92" t="str">
        <x:v>HTTP Evidence rows 359–360; source: backend_report.html</x:v>
      </x:c>
      <x:c r="M205" s="93" t="n">
        <x:v>46323.253113425926</x:v>
      </x:c>
    </x:row>
    <x:row r="206" ht="31" customHeight="1">
      <x:c r="A206" s="29" t="str">
        <x:v>NOTIF-001</x:v>
      </x:c>
      <x:c r="B206" s="29" t="str">
        <x:v>List Notifications</x:v>
      </x:c>
      <x:c r="C206" s="29" t="str">
        <x:v>GET</x:v>
      </x:c>
      <x:c r="D206" s="32" t="str">
        <x:v>/api/v1/notifications</x:v>
      </x:c>
      <x:c r="E206" s="32" t="str">
        <x:v>Contributor lists own read and unread notifications</x:v>
      </x:c>
      <x:c r="F206" s="32" t="str">
        <x:v>200; correct paginated notification response</x:v>
      </x:c>
      <x:c r="G206" s="38" t="str">
        <x:v>Approved</x:v>
      </x:c>
      <x:c r="H206" s="29" t="str">
        <x:v>In scope</x:v>
      </x:c>
      <x:c r="I206" s="91" t="str">
        <x:v>Passed</x:v>
      </x:c>
      <x:c r="J206" s="92" t="str">
        <x:v>HTTP 200 (GET /api/v1/notifications) • {"total":4,"limit":20,"offset":0,"items_count":4,"first_item_id":15} • Supporting requests: POST 200</x:v>
      </x:c>
      <x:c r="K206" s="92" t="str">
        <x:v>Passed assertions; 2 recorded HTTP exchange(s); duration 661 ms. Response details in HTTP Evidence worksheet.</x:v>
      </x:c>
      <x:c r="L206" s="92" t="str">
        <x:v>HTTP Evidence rows 361–362; source: backend_report.html</x:v>
      </x:c>
      <x:c r="M206" s="93" t="n">
        <x:v>46323.253113425926</x:v>
      </x:c>
    </x:row>
    <x:row r="207" ht="31" customHeight="1">
      <x:c r="A207" s="29" t="str">
        <x:v>NOTIF-002</x:v>
      </x:c>
      <x:c r="B207" s="29" t="str">
        <x:v>List Notifications</x:v>
      </x:c>
      <x:c r="C207" s="29" t="str">
        <x:v>GET</x:v>
      </x:c>
      <x:c r="D207" s="32" t="str">
        <x:v>/api/v1/notifications</x:v>
      </x:c>
      <x:c r="E207" s="32" t="str">
        <x:v>Creator or Admin lists own notifications</x:v>
      </x:c>
      <x:c r="F207" s="32" t="str">
        <x:v>200 for each role</x:v>
      </x:c>
      <x:c r="G207" s="38" t="str">
        <x:v>Approved</x:v>
      </x:c>
      <x:c r="H207" s="29" t="str">
        <x:v>In scope</x:v>
      </x:c>
      <x:c r="I207" s="91" t="str">
        <x:v>Passed</x:v>
      </x:c>
      <x:c r="J207" s="92" t="str">
        <x:v>HTTP 200 / 200 (GET /api/v1/notifications) • {"total":1,"limit":20,"offset":0,"items_count":1,"first_item_id":15} • Supporting requests: POST 200, POST 200, POST 200</x:v>
      </x:c>
      <x:c r="K207" s="92" t="str">
        <x:v>Passed assertions; 5 recorded HTTP exchange(s); duration 00:00:01. Response details in HTTP Evidence worksheet.</x:v>
      </x:c>
      <x:c r="L207" s="92" t="str">
        <x:v>HTTP Evidence rows 363–367; source: backend_report.html</x:v>
      </x:c>
      <x:c r="M207" s="93" t="n">
        <x:v>46323.253113425926</x:v>
      </x:c>
    </x:row>
    <x:row r="208" ht="31" customHeight="1">
      <x:c r="A208" s="29" t="str">
        <x:v>NOTIF-003</x:v>
      </x:c>
      <x:c r="B208" s="29" t="str">
        <x:v>List Notifications</x:v>
      </x:c>
      <x:c r="C208" s="29" t="str">
        <x:v>GET</x:v>
      </x:c>
      <x:c r="D208" s="32" t="str">
        <x:v>/api/v1/notifications</x:v>
      </x:c>
      <x:c r="E208" s="32" t="str">
        <x:v>List without JWT</x:v>
      </x:c>
      <x:c r="F208" s="32" t="str">
        <x:v>401 AUTH_REQUIRED</x:v>
      </x:c>
      <x:c r="G208" s="38" t="str">
        <x:v>Approved</x:v>
      </x:c>
      <x:c r="H208" s="29" t="str">
        <x:v>In scope</x:v>
      </x:c>
      <x:c r="I208" s="91" t="str">
        <x:v>Passed</x:v>
      </x:c>
      <x:c r="J208" s="92" t="str">
        <x:v>HTTP 401 (GET /api/v1/notifications) • {"error":{"code":"AUTH_REQUIRED","message":"Authentication required"}} • Supporting requests: POST 200</x:v>
      </x:c>
      <x:c r="K208" s="92" t="str">
        <x:v>Passed assertions; 2 recorded HTTP exchange(s); duration 811 ms. Response details in HTTP Evidence worksheet.</x:v>
      </x:c>
      <x:c r="L208" s="92" t="str">
        <x:v>HTTP Evidence rows 368–369; source: backend_report.html</x:v>
      </x:c>
      <x:c r="M208" s="93" t="n">
        <x:v>46323.253113425926</x:v>
      </x:c>
    </x:row>
    <x:row r="209" ht="31" customHeight="1">
      <x:c r="A209" s="29" t="str">
        <x:v>NOTIF-004</x:v>
      </x:c>
      <x:c r="B209" s="29" t="str">
        <x:v>List Notifications</x:v>
      </x:c>
      <x:c r="C209" s="29" t="str">
        <x:v>GET</x:v>
      </x:c>
      <x:c r="D209" s="32" t="str">
        <x:v>/api/v1/notifications</x:v>
      </x:c>
      <x:c r="E209" s="32" t="str">
        <x:v>List with invalid/expired JWT</x:v>
      </x:c>
      <x:c r="F209" s="32" t="str">
        <x:v>401 INVALID_TOKEN</x:v>
      </x:c>
      <x:c r="G209" s="38" t="str">
        <x:v>Approved</x:v>
      </x:c>
      <x:c r="H209" s="29" t="str">
        <x:v>In scope</x:v>
      </x:c>
      <x:c r="I209" s="91" t="str">
        <x:v>Passed</x:v>
      </x:c>
      <x:c r="J209" s="92" t="str">
        <x:v>HTTP 401 (GET /api/v1/notifications) • {"error":{"code":"INVALID_TOKEN","message":"Invalid or expired token"}} • Supporting requests: POST 200</x:v>
      </x:c>
      <x:c r="K209" s="92" t="str">
        <x:v>Passed assertions; 2 recorded HTTP exchange(s); duration 727 ms. Response details in HTTP Evidence worksheet.</x:v>
      </x:c>
      <x:c r="L209" s="92" t="str">
        <x:v>HTTP Evidence rows 370–371; source: backend_report.html</x:v>
      </x:c>
      <x:c r="M209" s="93" t="n">
        <x:v>46323.253113425926</x:v>
      </x:c>
    </x:row>
    <x:row r="210" ht="31" customHeight="1">
      <x:c r="A210" s="29" t="str">
        <x:v>NOTIF-005</x:v>
      </x:c>
      <x:c r="B210" s="29" t="str">
        <x:v>List Notifications</x:v>
      </x:c>
      <x:c r="C210" s="29" t="str">
        <x:v>GET</x:v>
      </x:c>
      <x:c r="D210" s="32" t="str">
        <x:v>/api/v1/notifications</x:v>
      </x:c>
      <x:c r="E210" s="32" t="str">
        <x:v>Two users list notifications</x:v>
      </x:c>
      <x:c r="F210" s="32" t="str">
        <x:v>Each sees only their own records</x:v>
      </x:c>
      <x:c r="G210" s="38" t="str">
        <x:v>Approved</x:v>
      </x:c>
      <x:c r="H210" s="29" t="str">
        <x:v>In scope</x:v>
      </x:c>
      <x:c r="I210" s="91" t="str">
        <x:v>Passed</x:v>
      </x:c>
      <x:c r="J210" s="92" t="str">
        <x:v>HTTP 200 / 200 (GET /api/v1/notifications) • {"total":1,"limit":20,"offset":0,"items_count":1,"first_item_id":15} • Supporting requests: POST 200, POST 200</x:v>
      </x:c>
      <x:c r="K210" s="92" t="str">
        <x:v>Passed assertions; 4 recorded HTTP exchange(s); duration 00:00:01. Response details in HTTP Evidence worksheet.</x:v>
      </x:c>
      <x:c r="L210" s="92" t="str">
        <x:v>HTTP Evidence rows 372–375; source: backend_report.html</x:v>
      </x:c>
      <x:c r="M210" s="93" t="n">
        <x:v>46323.253113425926</x:v>
      </x:c>
    </x:row>
    <x:row r="211" ht="31" customHeight="1">
      <x:c r="A211" s="29" t="str">
        <x:v>NOTIF-006</x:v>
      </x:c>
      <x:c r="B211" s="29" t="str">
        <x:v>List Notifications</x:v>
      </x:c>
      <x:c r="C211" s="29" t="str">
        <x:v>GET</x:v>
      </x:c>
      <x:c r="D211" s="32" t="str">
        <x:v>/api/v1/notifications</x:v>
      </x:c>
      <x:c r="E211" s="32" t="str">
        <x:v>unread_only=true</x:v>
      </x:c>
      <x:c r="F211" s="32" t="str">
        <x:v>200; only unread; total reflects unread matches</x:v>
      </x:c>
      <x:c r="G211" s="38" t="str">
        <x:v>Approved</x:v>
      </x:c>
      <x:c r="H211" s="29" t="str">
        <x:v>In scope</x:v>
      </x:c>
      <x:c r="I211" s="91" t="str">
        <x:v>Passed</x:v>
      </x:c>
      <x:c r="J211" s="92" t="str">
        <x:v>HTTP 200 (GET /api/v1/notifications) • {"total":3,"limit":20,"offset":0,"items_count":3,"first_item_id":15} • Supporting requests: POST 200</x:v>
      </x:c>
      <x:c r="K211" s="92" t="str">
        <x:v>Passed assertions; 2 recorded HTTP exchange(s); duration 660 ms. Response details in HTTP Evidence worksheet.</x:v>
      </x:c>
      <x:c r="L211" s="92" t="str">
        <x:v>HTTP Evidence rows 376–377; source: backend_report.html</x:v>
      </x:c>
      <x:c r="M211" s="93" t="n">
        <x:v>46323.253113425926</x:v>
      </x:c>
    </x:row>
    <x:row r="212" ht="31" customHeight="1">
      <x:c r="A212" s="29" t="str">
        <x:v>NOTIF-007</x:v>
      </x:c>
      <x:c r="B212" s="29" t="str">
        <x:v>List Notifications</x:v>
      </x:c>
      <x:c r="C212" s="29" t="str">
        <x:v>GET</x:v>
      </x:c>
      <x:c r="D212" s="32" t="str">
        <x:v>/api/v1/notifications</x:v>
      </x:c>
      <x:c r="E212" s="32" t="str">
        <x:v>Verify default newest-first ordering</x:v>
      </x:c>
      <x:c r="F212" s="32" t="str">
        <x:v>created_at descending; tie by notification_id descending</x:v>
      </x:c>
      <x:c r="G212" s="38" t="str">
        <x:v>Approved</x:v>
      </x:c>
      <x:c r="H212" s="29" t="str">
        <x:v>In scope</x:v>
      </x:c>
      <x:c r="I212" s="91" t="str">
        <x:v>Passed</x:v>
      </x:c>
      <x:c r="J212" s="92" t="str">
        <x:v>HTTP 200 (GET /api/v1/notifications) • {"total":4,"limit":20,"offset":0,"items_count":4,"first_item_id":15} • Supporting requests: POST 200</x:v>
      </x:c>
      <x:c r="K212" s="92" t="str">
        <x:v>Passed assertions; 2 recorded HTTP exchange(s); duration 680 ms. Response details in HTTP Evidence worksheet.</x:v>
      </x:c>
      <x:c r="L212" s="92" t="str">
        <x:v>HTTP Evidence rows 378–379; source: backend_report.html</x:v>
      </x:c>
      <x:c r="M212" s="93" t="n">
        <x:v>46323.253113425926</x:v>
      </x:c>
    </x:row>
    <x:row r="213" ht="31" customHeight="1">
      <x:c r="A213" s="29" t="str">
        <x:v>NOTIF-008</x:v>
      </x:c>
      <x:c r="B213" s="29" t="str">
        <x:v>List Notifications</x:v>
      </x:c>
      <x:c r="C213" s="29" t="str">
        <x:v>GET</x:v>
      </x:c>
      <x:c r="D213" s="32" t="str">
        <x:v>/api/v1/notifications</x:v>
      </x:c>
      <x:c r="E213" s="32" t="str">
        <x:v>Pagination limit=2 offset=2</x:v>
      </x:c>
      <x:c r="F213" s="32" t="str">
        <x:v>200; correct page and total</x:v>
      </x:c>
      <x:c r="G213" s="38" t="str">
        <x:v>Approved</x:v>
      </x:c>
      <x:c r="H213" s="29" t="str">
        <x:v>In scope</x:v>
      </x:c>
      <x:c r="I213" s="91" t="str">
        <x:v>Passed</x:v>
      </x:c>
      <x:c r="J213" s="92" t="str">
        <x:v>HTTP 200 (GET /api/v1/notifications) • {"total":4,"limit":2,"offset":2,"items_count":2,"first_item_id":15} • Supporting requests: POST 200</x:v>
      </x:c>
      <x:c r="K213" s="92" t="str">
        <x:v>Passed assertions; 2 recorded HTTP exchange(s); duration 645 ms. Response details in HTTP Evidence worksheet.</x:v>
      </x:c>
      <x:c r="L213" s="92" t="str">
        <x:v>HTTP Evidence rows 380–381; source: backend_report.html</x:v>
      </x:c>
      <x:c r="M213" s="93" t="n">
        <x:v>46323.253113425926</x:v>
      </x:c>
    </x:row>
    <x:row r="214" ht="31" customHeight="1">
      <x:c r="A214" s="29" t="str">
        <x:v>NOTIF-009</x:v>
      </x:c>
      <x:c r="B214" s="29" t="str">
        <x:v>List Notifications</x:v>
      </x:c>
      <x:c r="C214" s="29" t="str">
        <x:v>GET</x:v>
      </x:c>
      <x:c r="D214" s="32" t="str">
        <x:v>/api/v1/notifications</x:v>
      </x:c>
      <x:c r="E214" s="32" t="str">
        <x:v>List for user with empty inbox</x:v>
      </x:c>
      <x:c r="F214" s="32" t="str">
        <x:v>200; items=[], total=0, limit=20, offset=0</x:v>
      </x:c>
      <x:c r="G214" s="38" t="str">
        <x:v>Approved</x:v>
      </x:c>
      <x:c r="H214" s="29" t="str">
        <x:v>In scope</x:v>
      </x:c>
      <x:c r="I214" s="91" t="str">
        <x:v>Passed</x:v>
      </x:c>
      <x:c r="J214" s="92" t="str">
        <x:v>HTTP 200 (GET /api/v1/notifications) • {"total":0,"limit":20,"offset":0,"items_count":0} • Supporting requests: POST 200, POST 200</x:v>
      </x:c>
      <x:c r="K214" s="92" t="str">
        <x:v>Passed assertions; 3 recorded HTTP exchange(s); duration 991 ms. Response details in HTTP Evidence worksheet.</x:v>
      </x:c>
      <x:c r="L214" s="92" t="str">
        <x:v>HTTP Evidence rows 382–384; source: backend_report.html</x:v>
      </x:c>
      <x:c r="M214" s="93" t="n">
        <x:v>46323.253113425926</x:v>
      </x:c>
    </x:row>
    <x:row r="215" ht="31" customHeight="1">
      <x:c r="A215" s="29" t="str">
        <x:v>NOTIF-010</x:v>
      </x:c>
      <x:c r="B215" s="29" t="str">
        <x:v>List Notifications</x:v>
      </x:c>
      <x:c r="C215" s="29" t="str">
        <x:v>GET</x:v>
      </x:c>
      <x:c r="D215" s="32" t="str">
        <x:v>/api/v1/notifications</x:v>
      </x:c>
      <x:c r="E215" s="32" t="str">
        <x:v>Invalid limit=0, limit=101, offset=-1</x:v>
      </x:c>
      <x:c r="F215" s="32" t="str">
        <x:v>422 for each variation</x:v>
      </x:c>
      <x:c r="G215" s="38" t="str">
        <x:v>Approved</x:v>
      </x:c>
      <x:c r="H215" s="29" t="str">
        <x:v>In scope</x:v>
      </x:c>
      <x:c r="I215" s="91" t="str">
        <x:v>Passed</x:v>
      </x:c>
      <x:c r="J215" s="92" t="str">
        <x:v>HTTP 422 / 422 / 422 (GET /api/v1/notifications) • {"error":{"code":"VALIDATION_ERROR","message":"Request validation failed"}} • Supporting requests: POST 200</x:v>
      </x:c>
      <x:c r="K215" s="92" t="str">
        <x:v>Passed assertions; 4 recorded HTTP exchange(s); duration 778 ms. Response details in HTTP Evidence worksheet.</x:v>
      </x:c>
      <x:c r="L215" s="92" t="str">
        <x:v>HTTP Evidence rows 385–388; source: backend_report.html</x:v>
      </x:c>
      <x:c r="M215" s="93" t="n">
        <x:v>46323.253113425926</x:v>
      </x:c>
    </x:row>
    <x:row r="216" ht="31" customHeight="1">
      <x:c r="A216" s="29" t="str">
        <x:v>UCNT-001</x:v>
      </x:c>
      <x:c r="B216" s="29" t="str">
        <x:v>Unread Count</x:v>
      </x:c>
      <x:c r="C216" s="29" t="str">
        <x:v>GET</x:v>
      </x:c>
      <x:c r="D216" s="32" t="str">
        <x:v>/api/v1/notifications/unread-count</x:v>
      </x:c>
      <x:c r="E216" s="32" t="str">
        <x:v>Contributor with 3 unread notifications</x:v>
      </x:c>
      <x:c r="F216" s="32" t="str">
        <x:v>200; unread_count=3</x:v>
      </x:c>
      <x:c r="G216" s="38" t="str">
        <x:v>Approved</x:v>
      </x:c>
      <x:c r="H216" s="29" t="str">
        <x:v>In scope</x:v>
      </x:c>
      <x:c r="I216" s="91" t="str">
        <x:v>Passed</x:v>
      </x:c>
      <x:c r="J216" s="92" t="str">
        <x:v>HTTP 200 (GET /api/v1/notifications/unread-count) • {"unread_count":3} • Supporting requests: POST 200</x:v>
      </x:c>
      <x:c r="K216" s="92" t="str">
        <x:v>Passed assertions; 2 recorded HTTP exchange(s); duration 675 ms. Response details in HTTP Evidence worksheet.</x:v>
      </x:c>
      <x:c r="L216" s="92" t="str">
        <x:v>HTTP Evidence rows 389–390; source: backend_report.html</x:v>
      </x:c>
      <x:c r="M216" s="93" t="n">
        <x:v>46323.253113425926</x:v>
      </x:c>
    </x:row>
    <x:row r="217" ht="31" customHeight="1">
      <x:c r="A217" s="29" t="str">
        <x:v>UCNT-002</x:v>
      </x:c>
      <x:c r="B217" s="29" t="str">
        <x:v>Unread Count</x:v>
      </x:c>
      <x:c r="C217" s="29" t="str">
        <x:v>GET</x:v>
      </x:c>
      <x:c r="D217" s="32" t="str">
        <x:v>/api/v1/notifications/unread-count</x:v>
      </x:c>
      <x:c r="E217" s="32" t="str">
        <x:v>User with no unread notifications</x:v>
      </x:c>
      <x:c r="F217" s="32" t="str">
        <x:v>200; unread_count=0</x:v>
      </x:c>
      <x:c r="G217" s="38" t="str">
        <x:v>Approved</x:v>
      </x:c>
      <x:c r="H217" s="29" t="str">
        <x:v>In scope</x:v>
      </x:c>
      <x:c r="I217" s="91" t="str">
        <x:v>Passed</x:v>
      </x:c>
      <x:c r="J217" s="92" t="str">
        <x:v>HTTP 200 (GET /api/v1/notifications/unread-count) • {"unread_count":0} • Supporting requests: POST 200, POST 200</x:v>
      </x:c>
      <x:c r="K217" s="92" t="str">
        <x:v>Passed assertions; 3 recorded HTTP exchange(s); duration 00:00:01. Response details in HTTP Evidence worksheet.</x:v>
      </x:c>
      <x:c r="L217" s="92" t="str">
        <x:v>HTTP Evidence rows 391–393; source: backend_report.html</x:v>
      </x:c>
      <x:c r="M217" s="93" t="n">
        <x:v>46323.253113425926</x:v>
      </x:c>
    </x:row>
    <x:row r="218" ht="31" customHeight="1">
      <x:c r="A218" s="29" t="str">
        <x:v>UCNT-003</x:v>
      </x:c>
      <x:c r="B218" s="29" t="str">
        <x:v>Unread Count</x:v>
      </x:c>
      <x:c r="C218" s="29" t="str">
        <x:v>GET</x:v>
      </x:c>
      <x:c r="D218" s="32" t="str">
        <x:v>/api/v1/notifications/unread-count</x:v>
      </x:c>
      <x:c r="E218" s="32" t="str">
        <x:v>User with read and unread notifications</x:v>
      </x:c>
      <x:c r="F218" s="32" t="str">
        <x:v>200; counts only unread</x:v>
      </x:c>
      <x:c r="G218" s="38" t="str">
        <x:v>Approved</x:v>
      </x:c>
      <x:c r="H218" s="29" t="str">
        <x:v>In scope</x:v>
      </x:c>
      <x:c r="I218" s="91" t="str">
        <x:v>Passed</x:v>
      </x:c>
      <x:c r="J218" s="92" t="str">
        <x:v>HTTP 200 (GET /api/v1/notifications/unread-count) • {"unread_count":3} • Supporting requests: POST 200, GET 200</x:v>
      </x:c>
      <x:c r="K218" s="92" t="str">
        <x:v>Passed assertions; 3 recorded HTTP exchange(s); duration 846 ms. Response details in HTTP Evidence worksheet.</x:v>
      </x:c>
      <x:c r="L218" s="92" t="str">
        <x:v>HTTP Evidence rows 394–396; source: backend_report.html</x:v>
      </x:c>
      <x:c r="M218" s="93" t="n">
        <x:v>46323.253113425926</x:v>
      </x:c>
    </x:row>
    <x:row r="219" ht="31" customHeight="1">
      <x:c r="A219" s="29" t="str">
        <x:v>UCNT-004</x:v>
      </x:c>
      <x:c r="B219" s="29" t="str">
        <x:v>Unread Count</x:v>
      </x:c>
      <x:c r="C219" s="29" t="str">
        <x:v>GET</x:v>
      </x:c>
      <x:c r="D219" s="32" t="str">
        <x:v>/api/v1/notifications/unread-count</x:v>
      </x:c>
      <x:c r="E219" s="32" t="str">
        <x:v>Creator and Admin unread count</x:v>
      </x:c>
      <x:c r="F219" s="32" t="str">
        <x:v>200; each receives own count</x:v>
      </x:c>
      <x:c r="G219" s="38" t="str">
        <x:v>Approved</x:v>
      </x:c>
      <x:c r="H219" s="29" t="str">
        <x:v>In scope</x:v>
      </x:c>
      <x:c r="I219" s="91" t="str">
        <x:v>Passed</x:v>
      </x:c>
      <x:c r="J219" s="92" t="str">
        <x:v>HTTP 200 / 200 (GET /api/v1/notifications/unread-count) • {"unread_count":1} • Supporting requests: POST 200, POST 200, POST 200</x:v>
      </x:c>
      <x:c r="K219" s="92" t="str">
        <x:v>Passed assertions; 5 recorded HTTP exchange(s); duration 00:00:02. Response details in HTTP Evidence worksheet.</x:v>
      </x:c>
      <x:c r="L219" s="92" t="str">
        <x:v>HTTP Evidence rows 397–401; source: backend_report.html</x:v>
      </x:c>
      <x:c r="M219" s="93" t="n">
        <x:v>46323.253113425926</x:v>
      </x:c>
    </x:row>
    <x:row r="220" ht="31" customHeight="1">
      <x:c r="A220" s="29" t="str">
        <x:v>UCNT-005</x:v>
      </x:c>
      <x:c r="B220" s="29" t="str">
        <x:v>Unread Count</x:v>
      </x:c>
      <x:c r="C220" s="29" t="str">
        <x:v>GET</x:v>
      </x:c>
      <x:c r="D220" s="32" t="str">
        <x:v>/api/v1/notifications/unread-count</x:v>
      </x:c>
      <x:c r="E220" s="32" t="str">
        <x:v>Count without JWT</x:v>
      </x:c>
      <x:c r="F220" s="32" t="str">
        <x:v>401 AUTH_REQUIRED</x:v>
      </x:c>
      <x:c r="G220" s="38" t="str">
        <x:v>Approved</x:v>
      </x:c>
      <x:c r="H220" s="29" t="str">
        <x:v>In scope</x:v>
      </x:c>
      <x:c r="I220" s="91" t="str">
        <x:v>Passed</x:v>
      </x:c>
      <x:c r="J220" s="92" t="str">
        <x:v>HTTP 401 (GET /api/v1/notifications/unread-count) • {"error":{"code":"AUTH_REQUIRED","message":"Authentication required"}} • Supporting requests: POST 200</x:v>
      </x:c>
      <x:c r="K220" s="92" t="str">
        <x:v>Passed assertions; 2 recorded HTTP exchange(s); duration 693 ms. Response details in HTTP Evidence worksheet.</x:v>
      </x:c>
      <x:c r="L220" s="92" t="str">
        <x:v>HTTP Evidence rows 402–403; source: backend_report.html</x:v>
      </x:c>
      <x:c r="M220" s="93" t="n">
        <x:v>46323.253113425926</x:v>
      </x:c>
    </x:row>
    <x:row r="221" ht="31" customHeight="1">
      <x:c r="A221" s="29" t="str">
        <x:v>UCNT-006</x:v>
      </x:c>
      <x:c r="B221" s="29" t="str">
        <x:v>Unread Count</x:v>
      </x:c>
      <x:c r="C221" s="29" t="str">
        <x:v>GET</x:v>
      </x:c>
      <x:c r="D221" s="32" t="str">
        <x:v>/api/v1/notifications/unread-count</x:v>
      </x:c>
      <x:c r="E221" s="32" t="str">
        <x:v>Count with invalid/expired JWT</x:v>
      </x:c>
      <x:c r="F221" s="32" t="str">
        <x:v>401 INVALID_TOKEN</x:v>
      </x:c>
      <x:c r="G221" s="38" t="str">
        <x:v>Approved</x:v>
      </x:c>
      <x:c r="H221" s="29" t="str">
        <x:v>In scope</x:v>
      </x:c>
      <x:c r="I221" s="91" t="str">
        <x:v>Passed</x:v>
      </x:c>
      <x:c r="J221" s="92" t="str">
        <x:v>HTTP 401 (GET /api/v1/notifications/unread-count) • {"error":{"code":"INVALID_TOKEN","message":"Invalid or expired token"}} • Supporting requests: POST 200</x:v>
      </x:c>
      <x:c r="K221" s="92" t="str">
        <x:v>Passed assertions; 2 recorded HTTP exchange(s); duration 621 ms. Response details in HTTP Evidence worksheet.</x:v>
      </x:c>
      <x:c r="L221" s="92" t="str">
        <x:v>HTTP Evidence rows 404–405; source: backend_report.html</x:v>
      </x:c>
      <x:c r="M221" s="93" t="n">
        <x:v>46323.253113425926</x:v>
      </x:c>
    </x:row>
    <x:row r="222" ht="31" customHeight="1">
      <x:c r="A222" s="29" t="str">
        <x:v>UCNT-007</x:v>
      </x:c>
      <x:c r="B222" s="29" t="str">
        <x:v>Unread Count</x:v>
      </x:c>
      <x:c r="C222" s="29" t="str">
        <x:v>GET</x:v>
      </x:c>
      <x:c r="D222" s="32" t="str">
        <x:v>/api/v1/notifications/unread-count</x:v>
      </x:c>
      <x:c r="E222" s="32" t="str">
        <x:v>Two users request unread count</x:v>
      </x:c>
      <x:c r="F222" s="32" t="str">
        <x:v>Each count restricted to own notifications</x:v>
      </x:c>
      <x:c r="G222" s="38" t="str">
        <x:v>Approved</x:v>
      </x:c>
      <x:c r="H222" s="29" t="str">
        <x:v>In scope</x:v>
      </x:c>
      <x:c r="I222" s="91" t="str">
        <x:v>Passed</x:v>
      </x:c>
      <x:c r="J222" s="92" t="str">
        <x:v>HTTP 200 / 200 (GET /api/v1/notifications/unread-count) • {"unread_count":1} • Supporting requests: POST 200, POST 200</x:v>
      </x:c>
      <x:c r="K222" s="92" t="str">
        <x:v>Passed assertions; 4 recorded HTTP exchange(s); duration 00:00:01. Response details in HTTP Evidence worksheet.</x:v>
      </x:c>
      <x:c r="L222" s="92" t="str">
        <x:v>HTTP Evidence rows 406–409; source: backend_report.html</x:v>
      </x:c>
      <x:c r="M222" s="93" t="n">
        <x:v>46323.253113425926</x:v>
      </x:c>
    </x:row>
    <x:row r="223" ht="31" customHeight="1">
      <x:c r="A223" s="29" t="str">
        <x:v>UCNT-008</x:v>
      </x:c>
      <x:c r="B223" s="29" t="str">
        <x:v>Unread Count</x:v>
      </x:c>
      <x:c r="C223" s="29" t="str">
        <x:v>GET</x:v>
      </x:c>
      <x:c r="D223" s="32" t="str">
        <x:v>/api/v1/notifications/unread-count</x:v>
      </x:c>
      <x:c r="E223" s="32" t="str">
        <x:v>Mark one unread notification as read then recount</x:v>
      </x:c>
      <x:c r="F223" s="32" t="str">
        <x:v>200; count decreases exactly 1</x:v>
      </x:c>
      <x:c r="G223" s="38" t="str">
        <x:v>Approved</x:v>
      </x:c>
      <x:c r="H223" s="29" t="str">
        <x:v>In scope</x:v>
      </x:c>
      <x:c r="I223" s="91" t="str">
        <x:v>Passed</x:v>
      </x:c>
      <x:c r="J223" s="92" t="str">
        <x:v>HTTP 200 / 200 (GET /api/v1/notifications/unread-count) • {"unread_count":2} • Supporting requests: POST 200, PATCH 200</x:v>
      </x:c>
      <x:c r="K223" s="92" t="str">
        <x:v>Passed assertions; 4 recorded HTTP exchange(s); duration 733 ms. Response details in HTTP Evidence worksheet.</x:v>
      </x:c>
      <x:c r="L223" s="92" t="str">
        <x:v>HTTP Evidence rows 410–413; source: backend_report.html</x:v>
      </x:c>
      <x:c r="M223" s="93" t="n">
        <x:v>46323.253113425926</x:v>
      </x:c>
    </x:row>
    <x:row r="224" ht="31" customHeight="1">
      <x:c r="A224" s="29" t="str">
        <x:v>READ-001</x:v>
      </x:c>
      <x:c r="B224" s="29" t="str">
        <x:v>Mark Notification Read</x:v>
      </x:c>
      <x:c r="C224" s="29" t="str">
        <x:v>PATCH</x:v>
      </x:c>
      <x:c r="D224" s="32" t="str">
        <x:v>/api/v1/notifications/{notification_id}/read</x:v>
      </x:c>
      <x:c r="E224" s="32" t="str">
        <x:v>User marks own unread notification read</x:v>
      </x:c>
      <x:c r="F224" s="32" t="str">
        <x:v>200; is_read=true, read_at non-null</x:v>
      </x:c>
      <x:c r="G224" s="38" t="str">
        <x:v>Approved</x:v>
      </x:c>
      <x:c r="H224" s="29" t="str">
        <x:v>In scope</x:v>
      </x:c>
      <x:c r="I224" s="91" t="str">
        <x:v>Passed</x:v>
      </x:c>
      <x:c r="J224" s="92" t="str">
        <x:v>HTTP 200 (PATCH /api/v1/notifications/112/read) • {"opportunity_id":15,"notification_id":112,"is_read":true,"read_at":"2026-10-28T06:04:12Z","title":"newest"} • Supporting requests: POST 200</x:v>
      </x:c>
      <x:c r="K224" s="92" t="str">
        <x:v>Passed assertions; 2 recorded HTTP exchange(s); duration 771 ms. Response details in HTTP Evidence worksheet.</x:v>
      </x:c>
      <x:c r="L224" s="92" t="str">
        <x:v>HTTP Evidence rows 414–415; source: backend_report.html</x:v>
      </x:c>
      <x:c r="M224" s="93" t="n">
        <x:v>46323.253113425926</x:v>
      </x:c>
    </x:row>
    <x:row r="225" ht="31" customHeight="1">
      <x:c r="A225" s="29" t="str">
        <x:v>READ-002</x:v>
      </x:c>
      <x:c r="B225" s="29" t="str">
        <x:v>Mark Notification Read</x:v>
      </x:c>
      <x:c r="C225" s="29" t="str">
        <x:v>PATCH</x:v>
      </x:c>
      <x:c r="D225" s="32" t="str">
        <x:v>/api/v1/notifications/{notification_id}/read</x:v>
      </x:c>
      <x:c r="E225" s="32" t="str">
        <x:v>Creator/Contributor/Admin mark own notifications</x:v>
      </x:c>
      <x:c r="F225" s="32" t="str">
        <x:v>200 for each role; own records affected</x:v>
      </x:c>
      <x:c r="G225" s="38" t="str">
        <x:v>Approved</x:v>
      </x:c>
      <x:c r="H225" s="29" t="str">
        <x:v>In scope</x:v>
      </x:c>
      <x:c r="I225" s="91" t="str">
        <x:v>Passed</x:v>
      </x:c>
      <x:c r="J225" s="92" t="str">
        <x:v>HTTP 200 / 200 / 200 (PATCH /api/v1/notifications/120/read) • {"opportunity_id":15,"notification_id":120,"is_read":true,"read_at":"2026-10-28T06:04:14Z","title":"admin"} • Supporting requests: POST 200, POST 200, POST 200, POST 200, GET 200…</x:v>
      </x:c>
      <x:c r="K225" s="92" t="str">
        <x:v>Passed assertions; 12 recorded HTTP exchange(s); duration 00:00:03. Response details in HTTP Evidence worksheet.</x:v>
      </x:c>
      <x:c r="L225" s="92" t="str">
        <x:v>HTTP Evidence rows 416–427; source: backend_report.html</x:v>
      </x:c>
      <x:c r="M225" s="93" t="n">
        <x:v>46323.253113425926</x:v>
      </x:c>
    </x:row>
    <x:row r="226" ht="31" customHeight="1">
      <x:c r="A226" s="29" t="str">
        <x:v>READ-003</x:v>
      </x:c>
      <x:c r="B226" s="29" t="str">
        <x:v>Mark Notification Read</x:v>
      </x:c>
      <x:c r="C226" s="29" t="str">
        <x:v>PATCH</x:v>
      </x:c>
      <x:c r="D226" s="32" t="str">
        <x:v>/api/v1/notifications/{notification_id}/read</x:v>
      </x:c>
      <x:c r="E226" s="32" t="str">
        <x:v>Mark same notification twice</x:v>
      </x:c>
      <x:c r="F226" s="32" t="str">
        <x:v>Both 200; original read_at preserved</x:v>
      </x:c>
      <x:c r="G226" s="38" t="str">
        <x:v>Approved</x:v>
      </x:c>
      <x:c r="H226" s="29" t="str">
        <x:v>In scope</x:v>
      </x:c>
      <x:c r="I226" s="91" t="str">
        <x:v>Passed</x:v>
      </x:c>
      <x:c r="J226" s="92" t="str">
        <x:v>HTTP 200 / 200 (PATCH /api/v1/notifications/124/read) • {"opportunity_id":15,"notification_id":124,"is_read":true,"read_at":"2026-10-28T06:04:16Z","title":"newest"} • Supporting requests: POST 200, GET 200</x:v>
      </x:c>
      <x:c r="K226" s="92" t="str">
        <x:v>Passed assertions; 4 recorded HTTP exchange(s); duration 763 ms. Response details in HTTP Evidence worksheet.</x:v>
      </x:c>
      <x:c r="L226" s="92" t="str">
        <x:v>HTTP Evidence rows 428–431; source: backend_report.html</x:v>
      </x:c>
      <x:c r="M226" s="93" t="n">
        <x:v>46323.253113425926</x:v>
      </x:c>
    </x:row>
    <x:row r="227" ht="31" customHeight="1">
      <x:c r="A227" s="29" t="str">
        <x:v>READ-004</x:v>
      </x:c>
      <x:c r="B227" s="29" t="str">
        <x:v>Mark Notification Read</x:v>
      </x:c>
      <x:c r="C227" s="29" t="str">
        <x:v>PATCH</x:v>
      </x:c>
      <x:c r="D227" s="32" t="str">
        <x:v>/api/v1/notifications/{notification_id}/read</x:v>
      </x:c>
      <x:c r="E227" s="32" t="str">
        <x:v>Mark already-read notification</x:v>
      </x:c>
      <x:c r="F227" s="32" t="str">
        <x:v>200; original read_at preserved</x:v>
      </x:c>
      <x:c r="G227" s="38" t="str">
        <x:v>Approved</x:v>
      </x:c>
      <x:c r="H227" s="29" t="str">
        <x:v>In scope</x:v>
      </x:c>
      <x:c r="I227" s="91" t="str">
        <x:v>Passed</x:v>
      </x:c>
      <x:c r="J227" s="92" t="str">
        <x:v>HTTP 200 (PATCH /api/v1/notifications/128/read) • {"opportunity_id":15,"notification_id":128,"is_read":true,"read_at":"2026-10-11T10:00:00Z","title":"read"} • Supporting requests: POST 200</x:v>
      </x:c>
      <x:c r="K227" s="92" t="str">
        <x:v>Passed assertions; 2 recorded HTTP exchange(s); duration 706 ms. Response details in HTTP Evidence worksheet.</x:v>
      </x:c>
      <x:c r="L227" s="92" t="str">
        <x:v>HTTP Evidence rows 432–433; source: backend_report.html</x:v>
      </x:c>
      <x:c r="M227" s="93" t="n">
        <x:v>46323.253113425926</x:v>
      </x:c>
    </x:row>
    <x:row r="228" ht="31" customHeight="1">
      <x:c r="A228" s="29" t="str">
        <x:v>READ-005</x:v>
      </x:c>
      <x:c r="B228" s="29" t="str">
        <x:v>Mark Notification Read</x:v>
      </x:c>
      <x:c r="C228" s="29" t="str">
        <x:v>PATCH</x:v>
      </x:c>
      <x:c r="D228" s="32" t="str">
        <x:v>/api/v1/notifications/{notification_id}/read</x:v>
      </x:c>
      <x:c r="E228" s="32" t="str">
        <x:v>Mark one notification then check unread count</x:v>
      </x:c>
      <x:c r="F228" s="32" t="str">
        <x:v>Count decreases by 1; others unchanged</x:v>
      </x:c>
      <x:c r="G228" s="38" t="str">
        <x:v>Approved</x:v>
      </x:c>
      <x:c r="H228" s="29" t="str">
        <x:v>In scope</x:v>
      </x:c>
      <x:c r="I228" s="91" t="str">
        <x:v>Passed</x:v>
      </x:c>
      <x:c r="J228" s="92" t="str">
        <x:v>HTTP 200 (PATCH /api/v1/notifications/135/read) • {"opportunity_id":15,"notification_id":135,"is_read":true,"read_at":"2026-10-28T06:04:17Z","title":"middle"} • Supporting requests: POST 200, GET 200, GET 200, GET 200</x:v>
      </x:c>
      <x:c r="K228" s="92" t="str">
        <x:v>Passed assertions; 5 recorded HTTP exchange(s); duration 919 ms. Response details in HTTP Evidence worksheet.</x:v>
      </x:c>
      <x:c r="L228" s="92" t="str">
        <x:v>HTTP Evidence rows 434–438; source: backend_report.html</x:v>
      </x:c>
      <x:c r="M228" s="93" t="n">
        <x:v>46323.253113425926</x:v>
      </x:c>
    </x:row>
    <x:row r="229" ht="31" customHeight="1">
      <x:c r="A229" s="29" t="str">
        <x:v>READ-006</x:v>
      </x:c>
      <x:c r="B229" s="29" t="str">
        <x:v>Mark Notification Read</x:v>
      </x:c>
      <x:c r="C229" s="29" t="str">
        <x:v>PATCH</x:v>
      </x:c>
      <x:c r="D229" s="32" t="str">
        <x:v>/api/v1/notifications/{notification_id}/read</x:v>
      </x:c>
      <x:c r="E229" s="32" t="str">
        <x:v>Mark without JWT</x:v>
      </x:c>
      <x:c r="F229" s="32" t="str">
        <x:v>401 AUTH_REQUIRED</x:v>
      </x:c>
      <x:c r="G229" s="38" t="str">
        <x:v>Approved</x:v>
      </x:c>
      <x:c r="H229" s="29" t="str">
        <x:v>In scope</x:v>
      </x:c>
      <x:c r="I229" s="91" t="str">
        <x:v>Passed</x:v>
      </x:c>
      <x:c r="J229" s="92" t="str">
        <x:v>HTTP 401 (PATCH /api/v1/notifications/142/read) • {"error":{"code":"AUTH_REQUIRED","message":"Authentication required"}} • Supporting requests: POST 200</x:v>
      </x:c>
      <x:c r="K229" s="92" t="str">
        <x:v>Passed assertions; 2 recorded HTTP exchange(s); duration 732 ms. Response details in HTTP Evidence worksheet.</x:v>
      </x:c>
      <x:c r="L229" s="92" t="str">
        <x:v>HTTP Evidence rows 439–440; source: backend_report.html</x:v>
      </x:c>
      <x:c r="M229" s="93" t="n">
        <x:v>46323.253113425926</x:v>
      </x:c>
    </x:row>
    <x:row r="230" ht="31" customHeight="1">
      <x:c r="A230" s="29" t="str">
        <x:v>READ-007</x:v>
      </x:c>
      <x:c r="B230" s="29" t="str">
        <x:v>Mark Notification Read</x:v>
      </x:c>
      <x:c r="C230" s="29" t="str">
        <x:v>PATCH</x:v>
      </x:c>
      <x:c r="D230" s="32" t="str">
        <x:v>/api/v1/notifications/{notification_id}/read</x:v>
      </x:c>
      <x:c r="E230" s="32" t="str">
        <x:v>Mark with invalid/expired JWT</x:v>
      </x:c>
      <x:c r="F230" s="32" t="str">
        <x:v>401 INVALID_TOKEN</x:v>
      </x:c>
      <x:c r="G230" s="38" t="str">
        <x:v>Approved</x:v>
      </x:c>
      <x:c r="H230" s="29" t="str">
        <x:v>In scope</x:v>
      </x:c>
      <x:c r="I230" s="91" t="str">
        <x:v>Passed</x:v>
      </x:c>
      <x:c r="J230" s="92" t="str">
        <x:v>HTTP 401 (PATCH /api/v1/notifications/148/read) • {"error":{"code":"INVALID_TOKEN","message":"Invalid or expired token"}} • Supporting requests: POST 200</x:v>
      </x:c>
      <x:c r="K230" s="92" t="str">
        <x:v>Passed assertions; 2 recorded HTTP exchange(s); duration 612 ms. Response details in HTTP Evidence worksheet.</x:v>
      </x:c>
      <x:c r="L230" s="92" t="str">
        <x:v>HTTP Evidence rows 441–442; source: backend_report.html</x:v>
      </x:c>
      <x:c r="M230" s="93" t="n">
        <x:v>46323.253113425926</x:v>
      </x:c>
    </x:row>
    <x:row r="231" ht="31" customHeight="1">
      <x:c r="A231" s="29" t="str">
        <x:v>READ-008</x:v>
      </x:c>
      <x:c r="B231" s="29" t="str">
        <x:v>Mark Notification Read</x:v>
      </x:c>
      <x:c r="C231" s="29" t="str">
        <x:v>PATCH</x:v>
      </x:c>
      <x:c r="D231" s="32" t="str">
        <x:v>/api/v1/notifications/{notification_id}/read</x:v>
      </x:c>
      <x:c r="E231" s="32" t="str">
        <x:v>Attempt to mark another user's notification</x:v>
      </x:c>
      <x:c r="F231" s="32" t="str">
        <x:v>404 NOTIFICATION_NOT_FOUND; other record unchanged</x:v>
      </x:c>
      <x:c r="G231" s="38" t="str">
        <x:v>Approved</x:v>
      </x:c>
      <x:c r="H231" s="29" t="str">
        <x:v>In scope</x:v>
      </x:c>
      <x:c r="I231" s="91" t="str">
        <x:v>Passed</x:v>
      </x:c>
      <x:c r="J231" s="92" t="str">
        <x:v>HTTP 404 (PATCH /api/v1/notifications/155/read) • {"error":{"code":"NOTIFICATION_NOT_FOUND","message":"Notification not found"}} • Supporting requests: POST 200, POST 200, GET 200, GET 200</x:v>
      </x:c>
      <x:c r="K231" s="92" t="str">
        <x:v>Passed assertions; 5 recorded HTTP exchange(s); duration 00:00:01. Response details in HTTP Evidence worksheet.</x:v>
      </x:c>
      <x:c r="L231" s="92" t="str">
        <x:v>HTTP Evidence rows 443–447; source: backend_report.html</x:v>
      </x:c>
      <x:c r="M231" s="93" t="n">
        <x:v>46323.253113425926</x:v>
      </x:c>
    </x:row>
    <x:row r="232" ht="31" customHeight="1">
      <x:c r="A232" s="29" t="str">
        <x:v>READ-009</x:v>
      </x:c>
      <x:c r="B232" s="29" t="str">
        <x:v>Mark Notification Read</x:v>
      </x:c>
      <x:c r="C232" s="29" t="str">
        <x:v>PATCH</x:v>
      </x:c>
      <x:c r="D232" s="32" t="str">
        <x:v>/api/v1/notifications/{notification_id}/read</x:v>
      </x:c>
      <x:c r="E232" s="32" t="str">
        <x:v>Mark nonexistent notification</x:v>
      </x:c>
      <x:c r="F232" s="32" t="str">
        <x:v>404 NOTIFICATION_NOT_FOUND</x:v>
      </x:c>
      <x:c r="G232" s="38" t="str">
        <x:v>Approved</x:v>
      </x:c>
      <x:c r="H232" s="29" t="str">
        <x:v>In scope</x:v>
      </x:c>
      <x:c r="I232" s="91" t="str">
        <x:v>Passed</x:v>
      </x:c>
      <x:c r="J232" s="92" t="str">
        <x:v>HTTP 404 (PATCH /api/v1/notifications/999999/read) • {"error":{"code":"NOTIFICATION_NOT_FOUND","message":"Notification not found"}} • Supporting requests: POST 200</x:v>
      </x:c>
      <x:c r="K232" s="92" t="str">
        <x:v>Passed assertions; 2 recorded HTTP exchange(s); duration 647 ms. Response details in HTTP Evidence worksheet.</x:v>
      </x:c>
      <x:c r="L232" s="92" t="str">
        <x:v>HTTP Evidence rows 448–449; source: backend_report.html</x:v>
      </x:c>
      <x:c r="M232" s="93" t="n">
        <x:v>46323.253113425926</x:v>
      </x:c>
    </x:row>
    <x:row r="233" ht="31" customHeight="1">
      <x:c r="A233" s="29" t="str">
        <x:v>READ-010</x:v>
      </x:c>
      <x:c r="B233" s="29" t="str">
        <x:v>Mark Notification Read</x:v>
      </x:c>
      <x:c r="C233" s="29" t="str">
        <x:v>PATCH</x:v>
      </x:c>
      <x:c r="D233" s="32" t="str">
        <x:v>/api/v1/notifications/{notification_id}/read</x:v>
      </x:c>
      <x:c r="E233" s="32" t="str">
        <x:v>Invalid notification ID 0 or abc</x:v>
      </x:c>
      <x:c r="F233" s="32" t="str">
        <x:v>422 for each variation</x:v>
      </x:c>
      <x:c r="G233" s="38" t="str">
        <x:v>Approved</x:v>
      </x:c>
      <x:c r="H233" s="29" t="str">
        <x:v>In scope</x:v>
      </x:c>
      <x:c r="I233" s="91" t="str">
        <x:v>Passed</x:v>
      </x:c>
      <x:c r="J233" s="92" t="str">
        <x:v>HTTP 422 (PATCH /api/v1/notifications/0/read) • {"error":{"code":"VALIDATION_ERROR","message":"Request validation failed"}} • Supporting requests: POST 200, PATCH 422</x:v>
      </x:c>
      <x:c r="K233" s="92" t="str">
        <x:v>Passed assertions; 3 recorded HTTP exchange(s); duration 704 ms. Response details in HTTP Evidence worksheet.</x:v>
      </x:c>
      <x:c r="L233" s="92" t="str">
        <x:v>HTTP Evidence rows 450–452; source: backend_report.html</x:v>
      </x:c>
      <x:c r="M233" s="93" t="n">
        <x:v>46323.253113425926</x:v>
      </x:c>
    </x:row>
    <x:row r="234" ht="31" customHeight="1">
      <x:c r="A234" s="29" t="str">
        <x:v>ALLREAD-001</x:v>
      </x:c>
      <x:c r="B234" s="29" t="str">
        <x:v>Mark All Notifications Read</x:v>
      </x:c>
      <x:c r="C234" s="29" t="str">
        <x:v>POST</x:v>
      </x:c>
      <x:c r="D234" s="32" t="str">
        <x:v>/api/v1/notifications/read-all</x:v>
      </x:c>
      <x:c r="E234" s="32" t="str">
        <x:v>Contributor marks all 3 unread notifications</x:v>
      </x:c>
      <x:c r="F234" s="32" t="str">
        <x:v>200; marked_read=3; unread count=0</x:v>
      </x:c>
      <x:c r="G234" s="38" t="str">
        <x:v>Approved</x:v>
      </x:c>
      <x:c r="H234" s="29" t="str">
        <x:v>In scope</x:v>
      </x:c>
      <x:c r="I234" s="91" t="str">
        <x:v>Passed</x:v>
      </x:c>
      <x:c r="J234" s="92" t="str">
        <x:v>HTTP 200 (POST /api/v1/notifications/read-all) • {"marked_read":3} • Supporting requests: POST 200, GET 200</x:v>
      </x:c>
      <x:c r="K234" s="92" t="str">
        <x:v>Passed assertions; 3 recorded HTTP exchange(s); duration 715 ms. Response details in HTTP Evidence worksheet.</x:v>
      </x:c>
      <x:c r="L234" s="92" t="str">
        <x:v>HTTP Evidence rows 453–455; source: backend_report.html</x:v>
      </x:c>
      <x:c r="M234" s="93" t="n">
        <x:v>46323.253113425926</x:v>
      </x:c>
    </x:row>
    <x:row r="235" ht="31" customHeight="1">
      <x:c r="A235" s="29" t="str">
        <x:v>ALLREAD-002</x:v>
      </x:c>
      <x:c r="B235" s="29" t="str">
        <x:v>Mark All Notifications Read</x:v>
      </x:c>
      <x:c r="C235" s="29" t="str">
        <x:v>POST</x:v>
      </x:c>
      <x:c r="D235" s="32" t="str">
        <x:v>/api/v1/notifications/read-all</x:v>
      </x:c>
      <x:c r="E235" s="32" t="str">
        <x:v>User has no unread notifications</x:v>
      </x:c>
      <x:c r="F235" s="32" t="str">
        <x:v>200; marked_read=0</x:v>
      </x:c>
      <x:c r="G235" s="38" t="str">
        <x:v>Approved</x:v>
      </x:c>
      <x:c r="H235" s="29" t="str">
        <x:v>In scope</x:v>
      </x:c>
      <x:c r="I235" s="91" t="str">
        <x:v>Passed</x:v>
      </x:c>
      <x:c r="J235" s="92" t="str">
        <x:v>HTTP 200 (POST /api/v1/notifications/read-all) • {"marked_read":0} • Supporting requests: POST 200, POST 200, GET 200</x:v>
      </x:c>
      <x:c r="K235" s="92" t="str">
        <x:v>Passed assertions; 4 recorded HTTP exchange(s); duration 00:00:01. Response details in HTTP Evidence worksheet.</x:v>
      </x:c>
      <x:c r="L235" s="92" t="str">
        <x:v>HTTP Evidence rows 456–459; source: backend_report.html</x:v>
      </x:c>
      <x:c r="M235" s="93" t="n">
        <x:v>46323.253113425926</x:v>
      </x:c>
    </x:row>
    <x:row r="236" ht="31" customHeight="1">
      <x:c r="A236" s="29" t="str">
        <x:v>ALLREAD-003</x:v>
      </x:c>
      <x:c r="B236" s="29" t="str">
        <x:v>Mark All Notifications Read</x:v>
      </x:c>
      <x:c r="C236" s="29" t="str">
        <x:v>POST</x:v>
      </x:c>
      <x:c r="D236" s="32" t="str">
        <x:v>/api/v1/notifications/read-all</x:v>
      </x:c>
      <x:c r="E236" s="32" t="str">
        <x:v>Mixed read/unread notifications</x:v>
      </x:c>
      <x:c r="F236" s="32" t="str">
        <x:v>Only unread changed; old read_at preserved</x:v>
      </x:c>
      <x:c r="G236" s="38" t="str">
        <x:v>Approved</x:v>
      </x:c>
      <x:c r="H236" s="29" t="str">
        <x:v>In scope</x:v>
      </x:c>
      <x:c r="I236" s="91" t="str">
        <x:v>Passed</x:v>
      </x:c>
      <x:c r="J236" s="92" t="str">
        <x:v>HTTP 200 (POST /api/v1/notifications/read-all) • {"marked_read":3} • Supporting requests: POST 200, GET 200, GET 200</x:v>
      </x:c>
      <x:c r="K236" s="92" t="str">
        <x:v>Passed assertions; 4 recorded HTTP exchange(s); duration 873 ms. Response details in HTTP Evidence worksheet.</x:v>
      </x:c>
      <x:c r="L236" s="92" t="str">
        <x:v>HTTP Evidence rows 460–463; source: backend_report.html</x:v>
      </x:c>
      <x:c r="M236" s="93" t="n">
        <x:v>46323.253113425926</x:v>
      </x:c>
    </x:row>
    <x:row r="237" ht="31" customHeight="1">
      <x:c r="A237" s="29" t="str">
        <x:v>ALLREAD-004</x:v>
      </x:c>
      <x:c r="B237" s="29" t="str">
        <x:v>Mark All Notifications Read</x:v>
      </x:c>
      <x:c r="C237" s="29" t="str">
        <x:v>POST</x:v>
      </x:c>
      <x:c r="D237" s="32" t="str">
        <x:v>/api/v1/notifications/read-all</x:v>
      </x:c>
      <x:c r="E237" s="32" t="str">
        <x:v>Call mark-all twice</x:v>
      </x:c>
      <x:c r="F237" s="32" t="str">
        <x:v>First reports changed count, second marked_read=0</x:v>
      </x:c>
      <x:c r="G237" s="38" t="str">
        <x:v>Approved</x:v>
      </x:c>
      <x:c r="H237" s="29" t="str">
        <x:v>In scope</x:v>
      </x:c>
      <x:c r="I237" s="91" t="str">
        <x:v>Passed</x:v>
      </x:c>
      <x:c r="J237" s="92" t="str">
        <x:v>HTTP 200 / 200 (POST /api/v1/notifications/read-all) • {"marked_read":0} • Supporting requests: POST 200, GET 200</x:v>
      </x:c>
      <x:c r="K237" s="92" t="str">
        <x:v>Passed assertions; 4 recorded HTTP exchange(s); duration 717 ms. Response details in HTTP Evidence worksheet.</x:v>
      </x:c>
      <x:c r="L237" s="92" t="str">
        <x:v>HTTP Evidence rows 464–467; source: backend_report.html</x:v>
      </x:c>
      <x:c r="M237" s="93" t="n">
        <x:v>46323.253113425926</x:v>
      </x:c>
    </x:row>
    <x:row r="238" ht="31" customHeight="1">
      <x:c r="A238" s="29" t="str">
        <x:v>ALLREAD-005</x:v>
      </x:c>
      <x:c r="B238" s="29" t="str">
        <x:v>Mark All Notifications Read</x:v>
      </x:c>
      <x:c r="C238" s="29" t="str">
        <x:v>POST</x:v>
      </x:c>
      <x:c r="D238" s="32" t="str">
        <x:v>/api/v1/notifications/read-all</x:v>
      </x:c>
      <x:c r="E238" s="32" t="str">
        <x:v>Two users; User A marks all</x:v>
      </x:c>
      <x:c r="F238" s="32" t="str">
        <x:v>Only A changes; B's unread count and records unchanged</x:v>
      </x:c>
      <x:c r="G238" s="38" t="str">
        <x:v>Approved</x:v>
      </x:c>
      <x:c r="H238" s="29" t="str">
        <x:v>In scope</x:v>
      </x:c>
      <x:c r="I238" s="91" t="str">
        <x:v>Passed</x:v>
      </x:c>
      <x:c r="J238" s="92" t="str">
        <x:v>HTTP 200 (POST /api/v1/notifications/read-all) • {"marked_read":3} • Supporting requests: POST 200, POST 200, GET 200, GET 200, GET 200…</x:v>
      </x:c>
      <x:c r="K238" s="92" t="str">
        <x:v>Passed assertions; 7 recorded HTTP exchange(s); duration 00:00:01. Response details in HTTP Evidence worksheet.</x:v>
      </x:c>
      <x:c r="L238" s="92" t="str">
        <x:v>HTTP Evidence rows 468–474; source: backend_report.html</x:v>
      </x:c>
      <x:c r="M238" s="93" t="n">
        <x:v>46323.253113425926</x:v>
      </x:c>
    </x:row>
    <x:row r="239" ht="31" customHeight="1">
      <x:c r="A239" s="29" t="str">
        <x:v>ALLREAD-006</x:v>
      </x:c>
      <x:c r="B239" s="29" t="str">
        <x:v>Mark All Notifications Read</x:v>
      </x:c>
      <x:c r="C239" s="29" t="str">
        <x:v>POST</x:v>
      </x:c>
      <x:c r="D239" s="32" t="str">
        <x:v>/api/v1/notifications/read-all</x:v>
      </x:c>
      <x:c r="E239" s="32" t="str">
        <x:v>Creator/Contributor/Admin each mark own notifications</x:v>
      </x:c>
      <x:c r="F239" s="32" t="str">
        <x:v>200 for each role; own only</x:v>
      </x:c>
      <x:c r="G239" s="38" t="str">
        <x:v>Approved</x:v>
      </x:c>
      <x:c r="H239" s="29" t="str">
        <x:v>In scope</x:v>
      </x:c>
      <x:c r="I239" s="91" t="str">
        <x:v>Passed</x:v>
      </x:c>
      <x:c r="J239" s="92" t="str">
        <x:v>HTTP 200 / 200 / 200 (POST /api/v1/notifications/read-all) • {"marked_read":1} • Supporting requests: POST 200, POST 200, GET 200, POST 200, GET 200…</x:v>
      </x:c>
      <x:c r="K239" s="92" t="str">
        <x:v>Passed assertions; 10 recorded HTTP exchange(s); duration 00:00:02. Response details in HTTP Evidence worksheet.</x:v>
      </x:c>
      <x:c r="L239" s="92" t="str">
        <x:v>HTTP Evidence rows 475–484; source: backend_report.html</x:v>
      </x:c>
      <x:c r="M239" s="93" t="n">
        <x:v>46323.253113425926</x:v>
      </x:c>
    </x:row>
    <x:row r="240" ht="31" customHeight="1">
      <x:c r="A240" s="29" t="str">
        <x:v>ALLREAD-007</x:v>
      </x:c>
      <x:c r="B240" s="29" t="str">
        <x:v>Mark All Notifications Read</x:v>
      </x:c>
      <x:c r="C240" s="29" t="str">
        <x:v>POST</x:v>
      </x:c>
      <x:c r="D240" s="32" t="str">
        <x:v>/api/v1/notifications/read-all</x:v>
      </x:c>
      <x:c r="E240" s="32" t="str">
        <x:v>Mark all without JWT</x:v>
      </x:c>
      <x:c r="F240" s="32" t="str">
        <x:v>401 AUTH_REQUIRED</x:v>
      </x:c>
      <x:c r="G240" s="38" t="str">
        <x:v>Approved</x:v>
      </x:c>
      <x:c r="H240" s="29" t="str">
        <x:v>In scope</x:v>
      </x:c>
      <x:c r="I240" s="91" t="str">
        <x:v>Passed</x:v>
      </x:c>
      <x:c r="J240" s="92" t="str">
        <x:v>HTTP 401 (POST /api/v1/notifications/read-all) • {"error":{"code":"AUTH_REQUIRED","message":"Authentication required"}} • Supporting requests: POST 200</x:v>
      </x:c>
      <x:c r="K240" s="92" t="str">
        <x:v>Passed assertions; 2 recorded HTTP exchange(s); duration 852 ms. Response details in HTTP Evidence worksheet.</x:v>
      </x:c>
      <x:c r="L240" s="92" t="str">
        <x:v>HTTP Evidence rows 485–486; source: backend_report.html</x:v>
      </x:c>
      <x:c r="M240" s="93" t="n">
        <x:v>46323.253113425926</x:v>
      </x:c>
    </x:row>
    <x:row r="241" ht="31" customHeight="1">
      <x:c r="A241" s="29" t="str">
        <x:v>ALLREAD-008</x:v>
      </x:c>
      <x:c r="B241" s="29" t="str">
        <x:v>Mark All Notifications Read</x:v>
      </x:c>
      <x:c r="C241" s="29" t="str">
        <x:v>POST</x:v>
      </x:c>
      <x:c r="D241" s="32" t="str">
        <x:v>/api/v1/notifications/read-all</x:v>
      </x:c>
      <x:c r="E241" s="32" t="str">
        <x:v>Mark all with invalid/expired JWT</x:v>
      </x:c>
      <x:c r="F241" s="32" t="str">
        <x:v>401 INVALID_TOKEN</x:v>
      </x:c>
      <x:c r="G241" s="38" t="str">
        <x:v>Approved</x:v>
      </x:c>
      <x:c r="H241" s="29" t="str">
        <x:v>In scope</x:v>
      </x:c>
      <x:c r="I241" s="91" t="str">
        <x:v>Passed</x:v>
      </x:c>
      <x:c r="J241" s="92" t="str">
        <x:v>HTTP 401 (POST /api/v1/notifications/read-all) • {"error":{"code":"INVALID_TOKEN","message":"Invalid or expired token"}} • Supporting requests: POST 200</x:v>
      </x:c>
      <x:c r="K241" s="92" t="str">
        <x:v>Passed assertions; 2 recorded HTTP exchange(s); duration 806 ms. Response details in HTTP Evidence worksheet.</x:v>
      </x:c>
      <x:c r="L241" s="92" t="str">
        <x:v>HTTP Evidence rows 487–488; source: backend_report.html</x:v>
      </x:c>
      <x:c r="M241" s="93" t="n">
        <x:v>46323.253113425926</x:v>
      </x:c>
    </x:row>
  </x:sheetData>
  <x:mergeCells>
    <x:mergeCell ref="A1:M1"/>
    <x:mergeCell ref="A2:M2"/>
    <x:mergeCell ref="A3:M3"/>
  </x:mergeCells>
  <x:conditionalFormatting sqref="H5:H241">
    <x:cfRule type="expression" dxfId="0" priority="1">
      <x:formula>$H5="Deferred — infrastructure"</x:formula>
    </x:cfRule>
  </x:conditionalFormatting>
  <x:conditionalFormatting sqref="I5:I241">
    <x:cfRule type="expression" dxfId="1" priority="2">
      <x:formula>$I5="Passed"</x:formula>
    </x:cfRule>
    <x:cfRule type="expression" dxfId="2" priority="3">
      <x:formula>$I5="Failed"</x:formula>
    </x:cfRule>
    <x:cfRule type="expression" dxfId="3" priority="4">
      <x:formula>$I5="Blocked"</x:formula>
    </x:cfRule>
    <x:cfRule type="expression" dxfId="4" priority="5">
      <x:formula>I5="Passed"</x:formula>
    </x:cfRule>
    <x:cfRule type="expression" dxfId="5" priority="6">
      <x:formula>I5="Failed"</x:formula>
    </x:cfRule>
    <x:cfRule type="expression" dxfId="6" priority="7">
      <x:formula>I5="Skipped"</x:formula>
    </x:cfRule>
  </x:conditionalFormatting>
  <x:dataValidations count="1">
    <x:dataValidation type="list" sqref="I5:I241">
      <x:formula1>"Not Run,Passed,Failed,Skipped,Blocked"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bdec0514a74520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12" hidden="0" customWidth="1"/>
    <x:col min="3" max="3" width="53" hidden="0" customWidth="1"/>
    <x:col min="4" max="4" width="20" hidden="0" customWidth="1"/>
    <x:col min="5" max="5" width="18" hidden="0" customWidth="1"/>
    <x:col min="6" max="6" width="17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7" hidden="0" customWidth="1"/>
  </x:cols>
  <x:sheetData>
    <x:row r="1" ht="36" customHeight="1">
      <x:c r="A1" s="42" t="str">
        <x:v>GROW8 | API COVERAGE SUMMARY</x:v>
      </x:c>
      <x:c r="B1" s="42"/>
      <x:c r="C1" s="42"/>
      <x:c r="D1" s="42"/>
      <x:c r="E1" s="42"/>
      <x:c r="F1" s="42"/>
    </x:row>
    <x:row r="2" ht="26" customHeight="1">
      <x:c r="A2" s="9" t="str">
        <x:v>Approved case counts and actual execution outcomes sourced from the uploaded pytest-html report, generated 28 Oct 2026.</x:v>
      </x:c>
      <x:c r="B2" s="9"/>
      <x:c r="C2" s="9"/>
      <x:c r="D2" s="9"/>
      <x:c r="E2" s="9"/>
      <x:c r="F2" s="9"/>
    </x:row>
    <x:row r="4" ht="31" customHeight="1">
      <x:c r="A4" s="44" t="str">
        <x:v>API Name</x:v>
      </x:c>
      <x:c r="B4" s="44" t="str">
        <x:v>Method</x:v>
      </x:c>
      <x:c r="C4" s="44" t="str">
        <x:v>Endpoint</x:v>
      </x:c>
      <x:c r="D4" s="44" t="str">
        <x:v>Approved Cases</x:v>
      </x:c>
      <x:c r="E4" s="44" t="str">
        <x:v>In Scope</x:v>
      </x:c>
      <x:c r="F4" s="44" t="str">
        <x:v>Deferred</x:v>
      </x:c>
      <x:c r="G4" s="87" t="str">
        <x:v>Passed</x:v>
      </x:c>
      <x:c r="H4" s="87" t="str">
        <x:v>Failed</x:v>
      </x:c>
      <x:c r="I4" s="87" t="str">
        <x:v>Skipped</x:v>
      </x:c>
      <x:c r="J4" s="87" t="str">
        <x:v>Not Run</x:v>
      </x:c>
      <x:c r="K4" s="87" t="str">
        <x:v>Pass rate*</x:v>
      </x:c>
    </x:row>
    <x:row r="5" ht="27" customHeight="1">
      <x:c r="A5" s="28" t="str">
        <x:v>Health</x:v>
      </x:c>
      <x:c r="B5" s="28" t="str">
        <x:v>GET</x:v>
      </x:c>
      <x:c r="C5" s="28" t="str">
        <x:v>/health</x:v>
      </x:c>
      <x:c r="D5" s="28" t="n">
        <x:f>COUNTIF('Approved Cases'!$B$5:$B$241,A5)</x:f>
        <x:v>10</x:v>
      </x:c>
      <x:c r="E5" s="28" t="n">
        <x:f>COUNTIFS('Approved Cases'!$B$5:$B$241,A5,'Approved Cases'!$H$5:$H$241,"In scope")</x:f>
        <x:v>5</x:v>
      </x:c>
      <x:c r="F5" s="28" t="n">
        <x:f>D5-E5</x:f>
        <x:v>5</x:v>
      </x:c>
      <x:c r="G5" t="n">
        <x:f>COUNTIFS('Approved Cases'!$B$5:$B$241,$A5,'Approved Cases'!$I$5:$I$241,"Passed")</x:f>
        <x:v>5</x:v>
      </x:c>
      <x:c r="H5" t="n">
        <x:f>COUNTIFS('Approved Cases'!$B$5:$B$241,$A5,'Approved Cases'!$I$5:$I$241,"Failed")</x:f>
        <x:v>0</x:v>
      </x:c>
      <x:c r="I5" t="n">
        <x:f>COUNTIFS('Approved Cases'!$B$5:$B$241,$A5,'Approved Cases'!$I$5:$I$241,"Skipped")</x:f>
        <x:v>5</x:v>
      </x:c>
      <x:c r="J5" t="n">
        <x:f>COUNTIFS('Approved Cases'!$B$5:$B$241,$A5,'Approved Cases'!$I$5:$I$241,"Not Run")</x:f>
        <x:v>0</x:v>
      </x:c>
      <x:c r="K5" s="94" t="n">
        <x:f>IFERROR(G5/(G5+H5),0)</x:f>
        <x:v>1</x:v>
      </x:c>
    </x:row>
    <x:row r="6" ht="27" customHeight="1">
      <x:c r="A6" s="28" t="str">
        <x:v>Login</x:v>
      </x:c>
      <x:c r="B6" s="28" t="str">
        <x:v>POST</x:v>
      </x:c>
      <x:c r="C6" s="28" t="str">
        <x:v>/api/v1/auth/login</x:v>
      </x:c>
      <x:c r="D6" s="28" t="n">
        <x:f>COUNTIF('Approved Cases'!$B$5:$B$241,A6)</x:f>
        <x:v>28</x:v>
      </x:c>
      <x:c r="E6" s="28" t="n">
        <x:f>COUNTIFS('Approved Cases'!$B$5:$B$241,A6,'Approved Cases'!$H$5:$H$241,"In scope")</x:f>
        <x:v>28</x:v>
      </x:c>
      <x:c r="F6" s="28" t="n">
        <x:f>D6-E6</x:f>
        <x:v>0</x:v>
      </x:c>
      <x:c r="G6" t="n">
        <x:f>COUNTIFS('Approved Cases'!$B$5:$B$241,$A6,'Approved Cases'!$I$5:$I$241,"Passed")</x:f>
        <x:v>27</x:v>
      </x:c>
      <x:c r="H6" t="n">
        <x:f>COUNTIFS('Approved Cases'!$B$5:$B$241,$A6,'Approved Cases'!$I$5:$I$241,"Failed")</x:f>
        <x:v>1</x:v>
      </x:c>
      <x:c r="I6" t="n">
        <x:f>COUNTIFS('Approved Cases'!$B$5:$B$241,$A6,'Approved Cases'!$I$5:$I$241,"Skipped")</x:f>
        <x:v>0</x:v>
      </x:c>
      <x:c r="J6" t="n">
        <x:f>COUNTIFS('Approved Cases'!$B$5:$B$241,$A6,'Approved Cases'!$I$5:$I$241,"Not Run")</x:f>
        <x:v>0</x:v>
      </x:c>
      <x:c r="K6" s="94" t="n">
        <x:f>IFERROR(G6/(G6+H6),0)</x:f>
        <x:v>0.9642857142857143</x:v>
      </x:c>
    </x:row>
    <x:row r="7" ht="27" customHeight="1">
      <x:c r="A7" s="28" t="str">
        <x:v>Current User</x:v>
      </x:c>
      <x:c r="B7" s="28" t="str">
        <x:v>GET</x:v>
      </x:c>
      <x:c r="C7" s="28" t="str">
        <x:v>/api/v1/auth/me</x:v>
      </x:c>
      <x:c r="D7" s="28" t="n">
        <x:f>COUNTIF('Approved Cases'!$B$5:$B$241,A7)</x:f>
        <x:v>24</x:v>
      </x:c>
      <x:c r="E7" s="28" t="n">
        <x:f>COUNTIFS('Approved Cases'!$B$5:$B$241,A7,'Approved Cases'!$H$5:$H$241,"In scope")</x:f>
        <x:v>24</x:v>
      </x:c>
      <x:c r="F7" s="28" t="n">
        <x:f>D7-E7</x:f>
        <x:v>0</x:v>
      </x:c>
      <x:c r="G7" t="n">
        <x:f>COUNTIFS('Approved Cases'!$B$5:$B$241,$A7,'Approved Cases'!$I$5:$I$241,"Passed")</x:f>
        <x:v>24</x:v>
      </x:c>
      <x:c r="H7" t="n">
        <x:f>COUNTIFS('Approved Cases'!$B$5:$B$241,$A7,'Approved Cases'!$I$5:$I$241,"Failed")</x:f>
        <x:v>0</x:v>
      </x:c>
      <x:c r="I7" t="n">
        <x:f>COUNTIFS('Approved Cases'!$B$5:$B$241,$A7,'Approved Cases'!$I$5:$I$241,"Skipped")</x:f>
        <x:v>0</x:v>
      </x:c>
      <x:c r="J7" t="n">
        <x:f>COUNTIFS('Approved Cases'!$B$5:$B$241,$A7,'Approved Cases'!$I$5:$I$241,"Not Run")</x:f>
        <x:v>0</x:v>
      </x:c>
      <x:c r="K7" s="94" t="n">
        <x:f>IFERROR(G7/(G7+H7),0)</x:f>
        <x:v>1</x:v>
      </x:c>
    </x:row>
    <x:row r="8" ht="27" customHeight="1">
      <x:c r="A8" s="28" t="str">
        <x:v>Categories</x:v>
      </x:c>
      <x:c r="B8" s="28" t="str">
        <x:v>GET</x:v>
      </x:c>
      <x:c r="C8" s="28" t="str">
        <x:v>/api/v1/categories</x:v>
      </x:c>
      <x:c r="D8" s="28" t="n">
        <x:f>COUNTIF('Approved Cases'!$B$5:$B$241,A8)</x:f>
        <x:v>10</x:v>
      </x:c>
      <x:c r="E8" s="28" t="n">
        <x:f>COUNTIFS('Approved Cases'!$B$5:$B$241,A8,'Approved Cases'!$H$5:$H$241,"In scope")</x:f>
        <x:v>10</x:v>
      </x:c>
      <x:c r="F8" s="28" t="n">
        <x:f>D8-E8</x:f>
        <x:v>0</x:v>
      </x:c>
      <x:c r="G8" t="n">
        <x:f>COUNTIFS('Approved Cases'!$B$5:$B$241,$A8,'Approved Cases'!$I$5:$I$241,"Passed")</x:f>
        <x:v>10</x:v>
      </x:c>
      <x:c r="H8" t="n">
        <x:f>COUNTIFS('Approved Cases'!$B$5:$B$241,$A8,'Approved Cases'!$I$5:$I$241,"Failed")</x:f>
        <x:v>0</x:v>
      </x:c>
      <x:c r="I8" t="n">
        <x:f>COUNTIFS('Approved Cases'!$B$5:$B$241,$A8,'Approved Cases'!$I$5:$I$241,"Skipped")</x:f>
        <x:v>0</x:v>
      </x:c>
      <x:c r="J8" t="n">
        <x:f>COUNTIFS('Approved Cases'!$B$5:$B$241,$A8,'Approved Cases'!$I$5:$I$241,"Not Run")</x:f>
        <x:v>0</x:v>
      </x:c>
      <x:c r="K8" s="94" t="n">
        <x:f>IFERROR(G8/(G8+H8),0)</x:f>
        <x:v>1</x:v>
      </x:c>
    </x:row>
    <x:row r="9" ht="27" customHeight="1">
      <x:c r="A9" s="28" t="str">
        <x:v>Skills</x:v>
      </x:c>
      <x:c r="B9" s="28" t="str">
        <x:v>GET</x:v>
      </x:c>
      <x:c r="C9" s="28" t="str">
        <x:v>/api/v1/skills</x:v>
      </x:c>
      <x:c r="D9" s="28" t="n">
        <x:f>COUNTIF('Approved Cases'!$B$5:$B$241,A9)</x:f>
        <x:v>10</x:v>
      </x:c>
      <x:c r="E9" s="28" t="n">
        <x:f>COUNTIFS('Approved Cases'!$B$5:$B$241,A9,'Approved Cases'!$H$5:$H$241,"In scope")</x:f>
        <x:v>10</x:v>
      </x:c>
      <x:c r="F9" s="28" t="n">
        <x:f>D9-E9</x:f>
        <x:v>0</x:v>
      </x:c>
      <x:c r="G9" t="n">
        <x:f>COUNTIFS('Approved Cases'!$B$5:$B$241,$A9,'Approved Cases'!$I$5:$I$241,"Passed")</x:f>
        <x:v>10</x:v>
      </x:c>
      <x:c r="H9" t="n">
        <x:f>COUNTIFS('Approved Cases'!$B$5:$B$241,$A9,'Approved Cases'!$I$5:$I$241,"Failed")</x:f>
        <x:v>0</x:v>
      </x:c>
      <x:c r="I9" t="n">
        <x:f>COUNTIFS('Approved Cases'!$B$5:$B$241,$A9,'Approved Cases'!$I$5:$I$241,"Skipped")</x:f>
        <x:v>0</x:v>
      </x:c>
      <x:c r="J9" t="n">
        <x:f>COUNTIFS('Approved Cases'!$B$5:$B$241,$A9,'Approved Cases'!$I$5:$I$241,"Not Run")</x:f>
        <x:v>0</x:v>
      </x:c>
      <x:c r="K9" s="94" t="n">
        <x:f>IFERROR(G9/(G9+H9),0)</x:f>
        <x:v>1</x:v>
      </x:c>
    </x:row>
    <x:row r="10" ht="27" customHeight="1">
      <x:c r="A10" s="28" t="str">
        <x:v>Browse Opportunities</x:v>
      </x:c>
      <x:c r="B10" s="28" t="str">
        <x:v>GET</x:v>
      </x:c>
      <x:c r="C10" s="28" t="str">
        <x:v>/api/v1/opportunities</x:v>
      </x:c>
      <x:c r="D10" s="28" t="n">
        <x:f>COUNTIF('Approved Cases'!$B$5:$B$241,A10)</x:f>
        <x:v>61</x:v>
      </x:c>
      <x:c r="E10" s="28" t="n">
        <x:f>COUNTIFS('Approved Cases'!$B$5:$B$241,A10,'Approved Cases'!$H$5:$H$241,"In scope")</x:f>
        <x:v>61</x:v>
      </x:c>
      <x:c r="F10" s="28" t="n">
        <x:f>D10-E10</x:f>
        <x:v>0</x:v>
      </x:c>
      <x:c r="G10" t="n">
        <x:f>COUNTIFS('Approved Cases'!$B$5:$B$241,$A10,'Approved Cases'!$I$5:$I$241,"Passed")</x:f>
        <x:v>61</x:v>
      </x:c>
      <x:c r="H10" t="n">
        <x:f>COUNTIFS('Approved Cases'!$B$5:$B$241,$A10,'Approved Cases'!$I$5:$I$241,"Failed")</x:f>
        <x:v>0</x:v>
      </x:c>
      <x:c r="I10" t="n">
        <x:f>COUNTIFS('Approved Cases'!$B$5:$B$241,$A10,'Approved Cases'!$I$5:$I$241,"Skipped")</x:f>
        <x:v>0</x:v>
      </x:c>
      <x:c r="J10" t="n">
        <x:f>COUNTIFS('Approved Cases'!$B$5:$B$241,$A10,'Approved Cases'!$I$5:$I$241,"Not Run")</x:f>
        <x:v>0</x:v>
      </x:c>
      <x:c r="K10" s="94" t="n">
        <x:f>IFERROR(G10/(G10+H10),0)</x:f>
        <x:v>1</x:v>
      </x:c>
    </x:row>
    <x:row r="11" ht="27" customHeight="1">
      <x:c r="A11" s="28" t="str">
        <x:v>My Opportunities</x:v>
      </x:c>
      <x:c r="B11" s="28" t="str">
        <x:v>GET</x:v>
      </x:c>
      <x:c r="C11" s="28" t="str">
        <x:v>/api/v1/opportunities/mine</x:v>
      </x:c>
      <x:c r="D11" s="28" t="n">
        <x:f>COUNTIF('Approved Cases'!$B$5:$B$241,A11)</x:f>
        <x:v>10</x:v>
      </x:c>
      <x:c r="E11" s="28" t="n">
        <x:f>COUNTIFS('Approved Cases'!$B$5:$B$241,A11,'Approved Cases'!$H$5:$H$241,"In scope")</x:f>
        <x:v>10</x:v>
      </x:c>
      <x:c r="F11" s="28" t="n">
        <x:f>D11-E11</x:f>
        <x:v>0</x:v>
      </x:c>
      <x:c r="G11" t="n">
        <x:f>COUNTIFS('Approved Cases'!$B$5:$B$241,$A11,'Approved Cases'!$I$5:$I$241,"Passed")</x:f>
        <x:v>10</x:v>
      </x:c>
      <x:c r="H11" t="n">
        <x:f>COUNTIFS('Approved Cases'!$B$5:$B$241,$A11,'Approved Cases'!$I$5:$I$241,"Failed")</x:f>
        <x:v>0</x:v>
      </x:c>
      <x:c r="I11" t="n">
        <x:f>COUNTIFS('Approved Cases'!$B$5:$B$241,$A11,'Approved Cases'!$I$5:$I$241,"Skipped")</x:f>
        <x:v>0</x:v>
      </x:c>
      <x:c r="J11" t="n">
        <x:f>COUNTIFS('Approved Cases'!$B$5:$B$241,$A11,'Approved Cases'!$I$5:$I$241,"Not Run")</x:f>
        <x:v>0</x:v>
      </x:c>
      <x:c r="K11" s="94" t="n">
        <x:f>IFERROR(G11/(G11+H11),0)</x:f>
        <x:v>1</x:v>
      </x:c>
    </x:row>
    <x:row r="12" ht="27" customHeight="1">
      <x:c r="A12" s="28" t="str">
        <x:v>Opportunity Details</x:v>
      </x:c>
      <x:c r="B12" s="28" t="str">
        <x:v>GET</x:v>
      </x:c>
      <x:c r="C12" s="28" t="str">
        <x:v>/api/v1/opportunities/{opportunity_id}</x:v>
      </x:c>
      <x:c r="D12" s="28" t="n">
        <x:f>COUNTIF('Approved Cases'!$B$5:$B$241,A12)</x:f>
        <x:v>10</x:v>
      </x:c>
      <x:c r="E12" s="28" t="n">
        <x:f>COUNTIFS('Approved Cases'!$B$5:$B$241,A12,'Approved Cases'!$H$5:$H$241,"In scope")</x:f>
        <x:v>10</x:v>
      </x:c>
      <x:c r="F12" s="28" t="n">
        <x:f>D12-E12</x:f>
        <x:v>0</x:v>
      </x:c>
      <x:c r="G12" t="n">
        <x:f>COUNTIFS('Approved Cases'!$B$5:$B$241,$A12,'Approved Cases'!$I$5:$I$241,"Passed")</x:f>
        <x:v>10</x:v>
      </x:c>
      <x:c r="H12" t="n">
        <x:f>COUNTIFS('Approved Cases'!$B$5:$B$241,$A12,'Approved Cases'!$I$5:$I$241,"Failed")</x:f>
        <x:v>0</x:v>
      </x:c>
      <x:c r="I12" t="n">
        <x:f>COUNTIFS('Approved Cases'!$B$5:$B$241,$A12,'Approved Cases'!$I$5:$I$241,"Skipped")</x:f>
        <x:v>0</x:v>
      </x:c>
      <x:c r="J12" t="n">
        <x:f>COUNTIFS('Approved Cases'!$B$5:$B$241,$A12,'Approved Cases'!$I$5:$I$241,"Not Run")</x:f>
        <x:v>0</x:v>
      </x:c>
      <x:c r="K12" s="94" t="n">
        <x:f>IFERROR(G12/(G12+H12),0)</x:f>
        <x:v>1</x:v>
      </x:c>
    </x:row>
    <x:row r="13" ht="27" customHeight="1">
      <x:c r="A13" s="28" t="str">
        <x:v>Create Opportunity</x:v>
      </x:c>
      <x:c r="B13" s="28" t="str">
        <x:v>POST</x:v>
      </x:c>
      <x:c r="C13" s="28" t="str">
        <x:v>/api/v1/opportunities</x:v>
      </x:c>
      <x:c r="D13" s="28" t="n">
        <x:f>COUNTIF('Approved Cases'!$B$5:$B$241,A13)</x:f>
        <x:v>18</x:v>
      </x:c>
      <x:c r="E13" s="28" t="n">
        <x:f>COUNTIFS('Approved Cases'!$B$5:$B$241,A13,'Approved Cases'!$H$5:$H$241,"In scope")</x:f>
        <x:v>18</x:v>
      </x:c>
      <x:c r="F13" s="28" t="n">
        <x:f>D13-E13</x:f>
        <x:v>0</x:v>
      </x:c>
      <x:c r="G13" t="n">
        <x:f>COUNTIFS('Approved Cases'!$B$5:$B$241,$A13,'Approved Cases'!$I$5:$I$241,"Passed")</x:f>
        <x:v>18</x:v>
      </x:c>
      <x:c r="H13" t="n">
        <x:f>COUNTIFS('Approved Cases'!$B$5:$B$241,$A13,'Approved Cases'!$I$5:$I$241,"Failed")</x:f>
        <x:v>0</x:v>
      </x:c>
      <x:c r="I13" t="n">
        <x:f>COUNTIFS('Approved Cases'!$B$5:$B$241,$A13,'Approved Cases'!$I$5:$I$241,"Skipped")</x:f>
        <x:v>0</x:v>
      </x:c>
      <x:c r="J13" t="n">
        <x:f>COUNTIFS('Approved Cases'!$B$5:$B$241,$A13,'Approved Cases'!$I$5:$I$241,"Not Run")</x:f>
        <x:v>0</x:v>
      </x:c>
      <x:c r="K13" s="94" t="n">
        <x:f>IFERROR(G13/(G13+H13),0)</x:f>
        <x:v>1</x:v>
      </x:c>
    </x:row>
    <x:row r="14" ht="27" customHeight="1">
      <x:c r="A14" s="28" t="str">
        <x:v>Update Opportunity</x:v>
      </x:c>
      <x:c r="B14" s="28" t="str">
        <x:v>PATCH</x:v>
      </x:c>
      <x:c r="C14" s="28" t="str">
        <x:v>/api/v1/opportunities/{opportunity_id}</x:v>
      </x:c>
      <x:c r="D14" s="28" t="n">
        <x:f>COUNTIF('Approved Cases'!$B$5:$B$241,A14)</x:f>
        <x:v>10</x:v>
      </x:c>
      <x:c r="E14" s="28" t="n">
        <x:f>COUNTIFS('Approved Cases'!$B$5:$B$241,A14,'Approved Cases'!$H$5:$H$241,"In scope")</x:f>
        <x:v>10</x:v>
      </x:c>
      <x:c r="F14" s="28" t="n">
        <x:f>D14-E14</x:f>
        <x:v>0</x:v>
      </x:c>
      <x:c r="G14" t="n">
        <x:f>COUNTIFS('Approved Cases'!$B$5:$B$241,$A14,'Approved Cases'!$I$5:$I$241,"Passed")</x:f>
        <x:v>10</x:v>
      </x:c>
      <x:c r="H14" t="n">
        <x:f>COUNTIFS('Approved Cases'!$B$5:$B$241,$A14,'Approved Cases'!$I$5:$I$241,"Failed")</x:f>
        <x:v>0</x:v>
      </x:c>
      <x:c r="I14" t="n">
        <x:f>COUNTIFS('Approved Cases'!$B$5:$B$241,$A14,'Approved Cases'!$I$5:$I$241,"Skipped")</x:f>
        <x:v>0</x:v>
      </x:c>
      <x:c r="J14" t="n">
        <x:f>COUNTIFS('Approved Cases'!$B$5:$B$241,$A14,'Approved Cases'!$I$5:$I$241,"Not Run")</x:f>
        <x:v>0</x:v>
      </x:c>
      <x:c r="K14" s="94" t="n">
        <x:f>IFERROR(G14/(G14+H14),0)</x:f>
        <x:v>1</x:v>
      </x:c>
    </x:row>
    <x:row r="15" ht="27" customHeight="1">
      <x:c r="A15" s="28" t="str">
        <x:v>Publish Opportunity</x:v>
      </x:c>
      <x:c r="B15" s="28" t="str">
        <x:v>POST</x:v>
      </x:c>
      <x:c r="C15" s="28" t="str">
        <x:v>/api/v1/opportunities/{opportunity_id}/publish</x:v>
      </x:c>
      <x:c r="D15" s="28" t="n">
        <x:f>COUNTIF('Approved Cases'!$B$5:$B$241,A15)</x:f>
        <x:v>10</x:v>
      </x:c>
      <x:c r="E15" s="28" t="n">
        <x:f>COUNTIFS('Approved Cases'!$B$5:$B$241,A15,'Approved Cases'!$H$5:$H$241,"In scope")</x:f>
        <x:v>10</x:v>
      </x:c>
      <x:c r="F15" s="28" t="n">
        <x:f>D15-E15</x:f>
        <x:v>0</x:v>
      </x:c>
      <x:c r="G15" t="n">
        <x:f>COUNTIFS('Approved Cases'!$B$5:$B$241,$A15,'Approved Cases'!$I$5:$I$241,"Passed")</x:f>
        <x:v>10</x:v>
      </x:c>
      <x:c r="H15" t="n">
        <x:f>COUNTIFS('Approved Cases'!$B$5:$B$241,$A15,'Approved Cases'!$I$5:$I$241,"Failed")</x:f>
        <x:v>0</x:v>
      </x:c>
      <x:c r="I15" t="n">
        <x:f>COUNTIFS('Approved Cases'!$B$5:$B$241,$A15,'Approved Cases'!$I$5:$I$241,"Skipped")</x:f>
        <x:v>0</x:v>
      </x:c>
      <x:c r="J15" t="n">
        <x:f>COUNTIFS('Approved Cases'!$B$5:$B$241,$A15,'Approved Cases'!$I$5:$I$241,"Not Run")</x:f>
        <x:v>0</x:v>
      </x:c>
      <x:c r="K15" s="94" t="n">
        <x:f>IFERROR(G15/(G15+H15),0)</x:f>
        <x:v>1</x:v>
      </x:c>
    </x:row>
    <x:row r="16" ht="27" customHeight="1">
      <x:c r="A16" s="28" t="str">
        <x:v>List Notifications</x:v>
      </x:c>
      <x:c r="B16" s="28" t="str">
        <x:v>GET</x:v>
      </x:c>
      <x:c r="C16" s="28" t="str">
        <x:v>/api/v1/notifications</x:v>
      </x:c>
      <x:c r="D16" s="28" t="n">
        <x:f>COUNTIF('Approved Cases'!$B$5:$B$241,A16)</x:f>
        <x:v>10</x:v>
      </x:c>
      <x:c r="E16" s="28" t="n">
        <x:f>COUNTIFS('Approved Cases'!$B$5:$B$241,A16,'Approved Cases'!$H$5:$H$241,"In scope")</x:f>
        <x:v>10</x:v>
      </x:c>
      <x:c r="F16" s="28" t="n">
        <x:f>D16-E16</x:f>
        <x:v>0</x:v>
      </x:c>
      <x:c r="G16" t="n">
        <x:f>COUNTIFS('Approved Cases'!$B$5:$B$241,$A16,'Approved Cases'!$I$5:$I$241,"Passed")</x:f>
        <x:v>10</x:v>
      </x:c>
      <x:c r="H16" t="n">
        <x:f>COUNTIFS('Approved Cases'!$B$5:$B$241,$A16,'Approved Cases'!$I$5:$I$241,"Failed")</x:f>
        <x:v>0</x:v>
      </x:c>
      <x:c r="I16" t="n">
        <x:f>COUNTIFS('Approved Cases'!$B$5:$B$241,$A16,'Approved Cases'!$I$5:$I$241,"Skipped")</x:f>
        <x:v>0</x:v>
      </x:c>
      <x:c r="J16" t="n">
        <x:f>COUNTIFS('Approved Cases'!$B$5:$B$241,$A16,'Approved Cases'!$I$5:$I$241,"Not Run")</x:f>
        <x:v>0</x:v>
      </x:c>
      <x:c r="K16" s="94" t="n">
        <x:f>IFERROR(G16/(G16+H16),0)</x:f>
        <x:v>1</x:v>
      </x:c>
    </x:row>
    <x:row r="17" ht="27" customHeight="1">
      <x:c r="A17" s="28" t="str">
        <x:v>Unread Count</x:v>
      </x:c>
      <x:c r="B17" s="28" t="str">
        <x:v>GET</x:v>
      </x:c>
      <x:c r="C17" s="28" t="str">
        <x:v>/api/v1/notifications/unread-count</x:v>
      </x:c>
      <x:c r="D17" s="28" t="n">
        <x:f>COUNTIF('Approved Cases'!$B$5:$B$241,A17)</x:f>
        <x:v>8</x:v>
      </x:c>
      <x:c r="E17" s="28" t="n">
        <x:f>COUNTIFS('Approved Cases'!$B$5:$B$241,A17,'Approved Cases'!$H$5:$H$241,"In scope")</x:f>
        <x:v>8</x:v>
      </x:c>
      <x:c r="F17" s="28" t="n">
        <x:f>D17-E17</x:f>
        <x:v>0</x:v>
      </x:c>
      <x:c r="G17" t="n">
        <x:f>COUNTIFS('Approved Cases'!$B$5:$B$241,$A17,'Approved Cases'!$I$5:$I$241,"Passed")</x:f>
        <x:v>8</x:v>
      </x:c>
      <x:c r="H17" t="n">
        <x:f>COUNTIFS('Approved Cases'!$B$5:$B$241,$A17,'Approved Cases'!$I$5:$I$241,"Failed")</x:f>
        <x:v>0</x:v>
      </x:c>
      <x:c r="I17" t="n">
        <x:f>COUNTIFS('Approved Cases'!$B$5:$B$241,$A17,'Approved Cases'!$I$5:$I$241,"Skipped")</x:f>
        <x:v>0</x:v>
      </x:c>
      <x:c r="J17" t="n">
        <x:f>COUNTIFS('Approved Cases'!$B$5:$B$241,$A17,'Approved Cases'!$I$5:$I$241,"Not Run")</x:f>
        <x:v>0</x:v>
      </x:c>
      <x:c r="K17" s="94" t="n">
        <x:f>IFERROR(G17/(G17+H17),0)</x:f>
        <x:v>1</x:v>
      </x:c>
    </x:row>
    <x:row r="18" ht="27" customHeight="1">
      <x:c r="A18" s="28" t="str">
        <x:v>Mark Notification Read</x:v>
      </x:c>
      <x:c r="B18" s="28" t="str">
        <x:v>PATCH</x:v>
      </x:c>
      <x:c r="C18" s="28" t="str">
        <x:v>/api/v1/notifications/{notification_id}/read</x:v>
      </x:c>
      <x:c r="D18" s="28" t="n">
        <x:f>COUNTIF('Approved Cases'!$B$5:$B$241,A18)</x:f>
        <x:v>10</x:v>
      </x:c>
      <x:c r="E18" s="28" t="n">
        <x:f>COUNTIFS('Approved Cases'!$B$5:$B$241,A18,'Approved Cases'!$H$5:$H$241,"In scope")</x:f>
        <x:v>10</x:v>
      </x:c>
      <x:c r="F18" s="28" t="n">
        <x:f>D18-E18</x:f>
        <x:v>0</x:v>
      </x:c>
      <x:c r="G18" t="n">
        <x:f>COUNTIFS('Approved Cases'!$B$5:$B$241,$A18,'Approved Cases'!$I$5:$I$241,"Passed")</x:f>
        <x:v>10</x:v>
      </x:c>
      <x:c r="H18" t="n">
        <x:f>COUNTIFS('Approved Cases'!$B$5:$B$241,$A18,'Approved Cases'!$I$5:$I$241,"Failed")</x:f>
        <x:v>0</x:v>
      </x:c>
      <x:c r="I18" t="n">
        <x:f>COUNTIFS('Approved Cases'!$B$5:$B$241,$A18,'Approved Cases'!$I$5:$I$241,"Skipped")</x:f>
        <x:v>0</x:v>
      </x:c>
      <x:c r="J18" t="n">
        <x:f>COUNTIFS('Approved Cases'!$B$5:$B$241,$A18,'Approved Cases'!$I$5:$I$241,"Not Run")</x:f>
        <x:v>0</x:v>
      </x:c>
      <x:c r="K18" s="94" t="n">
        <x:f>IFERROR(G18/(G18+H18),0)</x:f>
        <x:v>1</x:v>
      </x:c>
    </x:row>
    <x:row r="19" ht="27" customHeight="1">
      <x:c r="A19" s="28" t="str">
        <x:v>Mark All Notifications Read</x:v>
      </x:c>
      <x:c r="B19" s="28" t="str">
        <x:v>POST</x:v>
      </x:c>
      <x:c r="C19" s="28" t="str">
        <x:v>/api/v1/notifications/read-all</x:v>
      </x:c>
      <x:c r="D19" s="28" t="n">
        <x:f>COUNTIF('Approved Cases'!$B$5:$B$241,A19)</x:f>
        <x:v>8</x:v>
      </x:c>
      <x:c r="E19" s="28" t="n">
        <x:f>COUNTIFS('Approved Cases'!$B$5:$B$241,A19,'Approved Cases'!$H$5:$H$241,"In scope")</x:f>
        <x:v>8</x:v>
      </x:c>
      <x:c r="F19" s="28" t="n">
        <x:f>D19-E19</x:f>
        <x:v>0</x:v>
      </x:c>
      <x:c r="G19" t="n">
        <x:f>COUNTIFS('Approved Cases'!$B$5:$B$241,$A19,'Approved Cases'!$I$5:$I$241,"Passed")</x:f>
        <x:v>8</x:v>
      </x:c>
      <x:c r="H19" t="n">
        <x:f>COUNTIFS('Approved Cases'!$B$5:$B$241,$A19,'Approved Cases'!$I$5:$I$241,"Failed")</x:f>
        <x:v>0</x:v>
      </x:c>
      <x:c r="I19" t="n">
        <x:f>COUNTIFS('Approved Cases'!$B$5:$B$241,$A19,'Approved Cases'!$I$5:$I$241,"Skipped")</x:f>
        <x:v>0</x:v>
      </x:c>
      <x:c r="J19" t="n">
        <x:f>COUNTIFS('Approved Cases'!$B$5:$B$241,$A19,'Approved Cases'!$I$5:$I$241,"Not Run")</x:f>
        <x:v>0</x:v>
      </x:c>
      <x:c r="K19" s="94" t="n">
        <x:f>IFERROR(G19/(G19+H19),0)</x:f>
        <x:v>1</x:v>
      </x:c>
    </x:row>
    <x:row r="20" ht="29" customHeight="1">
      <x:c r="A20" s="47" t="str">
        <x:v>TOTAL</x:v>
      </x:c>
      <x:c r="B20" s="47"/>
      <x:c r="C20" s="47"/>
      <x:c r="D20" s="47" t="n">
        <x:f>SUM(D5:D19)</x:f>
        <x:v>237</x:v>
      </x:c>
      <x:c r="E20" s="47" t="n">
        <x:f>SUM(E5:E19)</x:f>
        <x:v>232</x:v>
      </x:c>
      <x:c r="F20" s="47" t="n">
        <x:f>SUM(F5:F19)</x:f>
        <x:v>5</x:v>
      </x:c>
      <x:c r="G20" t="n">
        <x:f>SUM(G5:G19)</x:f>
        <x:v>231</x:v>
      </x:c>
      <x:c r="H20" t="n">
        <x:f>SUM(H5:H19)</x:f>
        <x:v>1</x:v>
      </x:c>
      <x:c r="I20" t="n">
        <x:f>SUM(I5:I19)</x:f>
        <x:v>5</x:v>
      </x:c>
      <x:c r="J20" t="n">
        <x:f>SUM(J5:J19)</x:f>
        <x:v>0</x:v>
      </x:c>
      <x:c r="K20" s="94" t="n">
        <x:f>IFERROR(G20/(G20+H20),0)</x:f>
        <x:v>0.9956896551724138</x:v>
      </x:c>
    </x:row>
  </x:sheetData>
  <x:mergeCells>
    <x:mergeCell ref="A1:F1"/>
    <x:mergeCell ref="A2:F2"/>
  </x:mergeCells>
  <x:conditionalFormatting sqref="H5:H20">
    <x:cfRule type="cellIs" dxfId="7" priority="1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2e7ec6492bb447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90" hidden="0" customWidth="1"/>
  </x:cols>
  <x:sheetData>
    <x:row r="1" ht="36" customHeight="1">
      <x:c r="A1" s="3" t="str">
        <x:v>GROW8 | WORKBOOK NOTES</x:v>
      </x:c>
      <x:c r="B1" s="3"/>
      <x:c r="C1" s="3"/>
      <x:c r="D1" s="3"/>
      <x:c r="E1" s="3"/>
      <x:c r="F1" s="3"/>
    </x:row>
    <x:row r="3" ht="29" customHeight="1">
      <x:c r="A3" s="44" t="str">
        <x:v>Topic</x:v>
      </x:c>
      <x:c r="B3" s="44" t="str">
        <x:v>Details</x:v>
      </x:c>
    </x:row>
    <x:row r="4" ht="42" customHeight="1">
      <x:c r="A4" s="75" t="str">
        <x:v>Source</x:v>
      </x:c>
      <x:c r="B4" s="75" t="str">
        <x:v>Approved 237 test cases from conversation; execution results imported from user-uploaded backend_report.html (pytest-html v4.1.1).</x:v>
      </x:c>
    </x:row>
    <x:row r="5" ht="42" customHeight="1">
      <x:c r="A5" s="75" t="str">
        <x:v>Approval</x:v>
      </x:c>
      <x:c r="B5" s="75" t="str">
        <x:v>All 237 test-case IDs across 15 HTTP endpoints approved by the user.</x:v>
      </x:c>
    </x:row>
    <x:row r="6" ht="42" customHeight="1">
      <x:c r="A6" s="75" t="str">
        <x:v>Execution</x:v>
      </x:c>
      <x:c r="B6" s="75" t="str">
        <x:v>Imported backend_report.html (pytest-html), generated 2026-10-28 06:04:29: 231 Passed, 1 Failed, 5 Skipped. Run duration approximately 2m 02s.</x:v>
      </x:c>
    </x:row>
    <x:row r="7" ht="42" customHeight="1">
      <x:c r="A7" s="75" t="str">
        <x:v>Scope</x:v>
      </x:c>
      <x:c r="B7" s="75" t="str">
        <x:v>232 test cases executed (231 Passed, 1 Failed); five Health infrastructure scenarios skipped. No direct database assertion or outages in streamlined coverage.</x:v>
      </x:c>
    </x:row>
    <x:row r="8" ht="42" customHeight="1">
      <x:c r="A8" s="75" t="str">
        <x:v>Deferred IDs</x:v>
      </x:c>
      <x:c r="B8" s="75" t="str">
        <x:v>HLTH-002, HLTH-003, HLTH-004, HLTH-005, HLTH-010</x:v>
      </x:c>
    </x:row>
    <x:row r="9" ht="42" customHeight="1">
      <x:c r="A9" s="75" t="str">
        <x:v>Boundary</x:v>
      </x:c>
      <x:c r="B9" s="75" t="str">
        <x:v>The tests cover HTTP responses, auth, permissions, validation, workflows and response contracts.</x:v>
      </x:c>
    </x:row>
    <x:row r="10" ht="42" customHeight="1">
      <x:c r="A10" s="75" t="str">
        <x:v>Excluded</x:v>
      </x:c>
      <x:c r="B10" s="75" t="str">
        <x:v>Five approved Health infrastructure tests intentionally skipped: HLTH-002, 003, 004, 005, 010.</x:v>
      </x:c>
    </x:row>
    <x:row r="11" ht="42" customHeight="1">
      <x:c r="A11" s="75" t="str">
        <x:v>Test variations</x:v>
      </x:c>
      <x:c r="B11" s="75" t="str">
        <x:v>Some approved IDs cover multiple input variants; the uploaded report records 237 case results with 487 total HTTP exchanges. One test ID may have multiple calls.</x:v>
      </x:c>
    </x:row>
    <x:row r="13" ht="30" customHeight="1">
      <x:c r="A13" s="44" t="str">
        <x:v>How to use this workbook</x:v>
      </x:c>
      <x:c r="B13" s="44"/>
    </x:row>
    <x:row r="14" ht="31" customHeight="1">
      <x:c r="A14" s="79" t="str">
        <x:v>1. Open Approved Cases; use the table filters to select an API or Automation Scope.</x:v>
      </x:c>
      <x:c r="B14" s="79"/>
    </x:row>
    <x:row r="15" ht="31" customHeight="1">
      <x:c r="A15" s="79" t="str">
        <x:v>2. Keep approved scenario and expected-result text unchanged unless a revision is explicitly approved.</x:v>
      </x:c>
      <x:c r="B15" s="79"/>
    </x:row>
    <x:row r="16" ht="31" customHeight="1">
      <x:c r="A16" s="79" t="str">
        <x:v>3. Execution Status and Actual Result are populated from the uploaded HTML report, not estimated.</x:v>
      </x:c>
      <x:c r="B16" s="79"/>
    </x:row>
    <x:row r="17" ht="31" customHeight="1">
      <x:c r="A17" s="79" t="str">
        <x:v>4. HTTP Evidence shows sanitized requests, response status and response excerpts. Truncated excerpts remain complete in the original HTML report.</x:v>
      </x:c>
      <x:c r="B17" s="79"/>
    </x:row>
    <x:row r="18" ht="31" customHeight="1">
      <x:c r="A18" s="79" t="str">
        <x:v>5. AUTH-024 is an automation input construction issue: email=None is replaced by the helper default; fix and rerun before calling it a backend defect.</x:v>
      </x:c>
      <x:c r="B18" s="79"/>
    </x:row>
  </x:sheetData>
  <x:mergeCells>
    <x:mergeCell ref="A1:F1"/>
    <x:mergeCell ref="A13:B13"/>
    <x:mergeCell ref="A14:B14"/>
    <x:mergeCell ref="A15:B15"/>
    <x:mergeCell ref="A16:B16"/>
    <x:mergeCell ref="A17:B17"/>
    <x:mergeCell ref="A18:B1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4" hidden="0" customWidth="1"/>
    <x:col min="4" max="4" width="9" hidden="0" customWidth="1"/>
    <x:col min="5" max="5" width="13" hidden="0" customWidth="1"/>
    <x:col min="6" max="6" width="44" hidden="0" customWidth="1"/>
    <x:col min="7" max="7" width="35" hidden="0" customWidth="1"/>
    <x:col min="8" max="8" width="40" hidden="0" customWidth="1"/>
    <x:col min="9" max="9" width="15" hidden="0" customWidth="1"/>
    <x:col min="10" max="10" width="70" hidden="0" customWidth="1"/>
    <x:col min="11" max="11" width="16" hidden="0" customWidth="1"/>
  </x:cols>
  <x:sheetData>
    <x:row r="1" ht="34" customHeight="1">
      <x:c r="A1" s="87" t="str">
        <x:v>Test Case ID</x:v>
      </x:c>
      <x:c r="B1" s="87" t="str">
        <x:v>API</x:v>
      </x:c>
      <x:c r="C1" s="87" t="str">
        <x:v>Test Status</x:v>
      </x:c>
      <x:c r="D1" s="87" t="str">
        <x:v>Call #</x:v>
      </x:c>
      <x:c r="E1" s="87" t="str">
        <x:v>HTTP Method</x:v>
      </x:c>
      <x:c r="F1" s="87" t="str">
        <x:v>Request URL</x:v>
      </x:c>
      <x:c r="G1" s="87" t="str">
        <x:v>Query Parameters</x:v>
      </x:c>
      <x:c r="H1" s="87" t="str">
        <x:v>Request Body (redacted)</x:v>
      </x:c>
      <x:c r="I1" s="87" t="str">
        <x:v>Actual HTTP Status</x:v>
      </x:c>
      <x:c r="J1" s="87" t="str">
        <x:v>Actual Response (redacted; truncated where needed)</x:v>
      </x:c>
      <x:c r="K1" s="87" t="str">
        <x:v>Case Duration</x:v>
      </x:c>
    </x:row>
    <x:row r="2" ht="35" customHeight="1">
      <x:c r="A2" s="89" t="str">
        <x:v>HLTH-001</x:v>
      </x:c>
      <x:c r="B2" s="89" t="str">
        <x:v>Health</x:v>
      </x:c>
      <x:c r="C2" s="89" t="str">
        <x:v>Passed</x:v>
      </x:c>
      <x:c r="D2" s="89" t="n">
        <x:v>1</x:v>
      </x:c>
      <x:c r="E2" s="89" t="str">
        <x:v>GET</x:v>
      </x:c>
      <x:c r="F2" s="89" t="str">
        <x:v>/health</x:v>
      </x:c>
      <x:c r="G2" s="90" t="str">
        <x:v>null</x:v>
      </x:c>
      <x:c r="H2" s="90" t="str">
        <x:v>null</x:v>
      </x:c>
      <x:c r="I2" s="90" t="n">
        <x:v>200</x:v>
      </x:c>
      <x:c r="J2" s="90" t="str">
        <x:v>{"status":"ok","checks":{"mysql":"ok","rabbitmq":"ok"}}</x:v>
      </x:c>
      <x:c r="K2" s="89" t="str">
        <x:v>Case duration 00:00:02</x:v>
      </x:c>
    </x:row>
    <x:row r="3" ht="35" customHeight="1">
      <x:c r="A3" s="89" t="str">
        <x:v>HLTH-006</x:v>
      </x:c>
      <x:c r="B3" s="89" t="str">
        <x:v>Health</x:v>
      </x:c>
      <x:c r="C3" s="89" t="str">
        <x:v>Passed</x:v>
      </x:c>
      <x:c r="D3" s="89" t="n">
        <x:v>1</x:v>
      </x:c>
      <x:c r="E3" s="89" t="str">
        <x:v>GET</x:v>
      </x:c>
      <x:c r="F3" s="89" t="str">
        <x:v>/health</x:v>
      </x:c>
      <x:c r="G3" s="90" t="str">
        <x:v>null</x:v>
      </x:c>
      <x:c r="H3" s="90" t="str">
        <x:v>null</x:v>
      </x:c>
      <x:c r="I3" s="90" t="n">
        <x:v>200</x:v>
      </x:c>
      <x:c r="J3" s="90" t="str">
        <x:v>{"status":"ok","checks":{"mysql":"ok","rabbitmq":"ok"}}</x:v>
      </x:c>
      <x:c r="K3" s="89" t="str">
        <x:v>Case duration 160 ms</x:v>
      </x:c>
    </x:row>
    <x:row r="4" ht="35" customHeight="1">
      <x:c r="A4" s="89" t="str">
        <x:v>HLTH-007</x:v>
      </x:c>
      <x:c r="B4" s="89" t="str">
        <x:v>Health</x:v>
      </x:c>
      <x:c r="C4" s="89" t="str">
        <x:v>Passed</x:v>
      </x:c>
      <x:c r="D4" s="89" t="n">
        <x:v>1</x:v>
      </x:c>
      <x:c r="E4" s="89" t="str">
        <x:v>GET</x:v>
      </x:c>
      <x:c r="F4" s="89" t="str">
        <x:v>/health</x:v>
      </x:c>
      <x:c r="G4" s="90" t="str">
        <x:v>null</x:v>
      </x:c>
      <x:c r="H4" s="90" t="str">
        <x:v>null</x:v>
      </x:c>
      <x:c r="I4" s="90" t="n">
        <x:v>200</x:v>
      </x:c>
      <x:c r="J4" s="90" t="str">
        <x:v>{"status":"ok","checks":{"mysql":"ok","rabbitmq":"ok"}}</x:v>
      </x:c>
      <x:c r="K4" s="89" t="str">
        <x:v>Case duration 162 ms</x:v>
      </x:c>
    </x:row>
    <x:row r="5" ht="35" customHeight="1">
      <x:c r="A5" s="89" t="str">
        <x:v>HLTH-008</x:v>
      </x:c>
      <x:c r="B5" s="89" t="str">
        <x:v>Health</x:v>
      </x:c>
      <x:c r="C5" s="89" t="str">
        <x:v>Passed</x:v>
      </x:c>
      <x:c r="D5" s="89" t="n">
        <x:v>1</x:v>
      </x:c>
      <x:c r="E5" s="89" t="str">
        <x:v>GET</x:v>
      </x:c>
      <x:c r="F5" s="89" t="str">
        <x:v>/health</x:v>
      </x:c>
      <x:c r="G5" s="90" t="str">
        <x:v>null</x:v>
      </x:c>
      <x:c r="H5" s="90" t="str">
        <x:v>null</x:v>
      </x:c>
      <x:c r="I5" s="90" t="n">
        <x:v>200</x:v>
      </x:c>
      <x:c r="J5" s="90" t="str">
        <x:v>{"status":"ok","checks":{"mysql":"ok","rabbitmq":"ok"}}</x:v>
      </x:c>
      <x:c r="K5" s="89" t="str">
        <x:v>Case duration 206 ms</x:v>
      </x:c>
    </x:row>
    <x:row r="6" ht="35" customHeight="1">
      <x:c r="A6" s="89" t="str">
        <x:v>HLTH-009</x:v>
      </x:c>
      <x:c r="B6" s="89" t="str">
        <x:v>Health</x:v>
      </x:c>
      <x:c r="C6" s="89" t="str">
        <x:v>Passed</x:v>
      </x:c>
      <x:c r="D6" s="89" t="n">
        <x:v>1</x:v>
      </x:c>
      <x:c r="E6" s="89" t="str">
        <x:v>GET</x:v>
      </x:c>
      <x:c r="F6" s="89" t="str">
        <x:v>/health</x:v>
      </x:c>
      <x:c r="G6" s="90" t="str">
        <x:v>null</x:v>
      </x:c>
      <x:c r="H6" s="90" t="str">
        <x:v>null</x:v>
      </x:c>
      <x:c r="I6" s="90" t="n">
        <x:v>200</x:v>
      </x:c>
      <x:c r="J6" s="90" t="str">
        <x:v>{"status":"ok","checks":{"mysql":"ok","rabbitmq":"ok"}}</x:v>
      </x:c>
      <x:c r="K6" s="89" t="str">
        <x:v>Case duration 197 ms</x:v>
      </x:c>
    </x:row>
    <x:row r="7" ht="35" customHeight="1">
      <x:c r="A7" s="89" t="str">
        <x:v>AUTH-001</x:v>
      </x:c>
      <x:c r="B7" s="89" t="str">
        <x:v>Login</x:v>
      </x:c>
      <x:c r="C7" s="89" t="str">
        <x:v>Passed</x:v>
      </x:c>
      <x:c r="D7" s="89" t="n">
        <x:v>1</x:v>
      </x:c>
      <x:c r="E7" s="89" t="str">
        <x:v>POST</x:v>
      </x:c>
      <x:c r="F7" s="89" t="str">
        <x:v>/api/v1/auth/login</x:v>
      </x:c>
      <x:c r="G7" s="90" t="str">
        <x:v>null</x:v>
      </x:c>
      <x:c r="H7" s="90" t="str">
        <x:v>{"email":"maple.bakery@grow8.dev","password":"&lt;redacted&gt;"}</x:v>
      </x:c>
      <x:c r="I7" s="90" t="n">
        <x:v>200</x:v>
      </x:c>
      <x:c r="J7" s="90" t="str">
        <x:v>{"access_token":"&lt;redacted&gt;","token_type":"bearer","expires_in":3600,"user":{"user_id":2,"email":"maple.bakery@grow8.dev","full_name":"Priya Nair","role":"creator"}}</x:v>
      </x:c>
      <x:c r="K7" s="89" t="str">
        <x:v>Case duration 581 ms</x:v>
      </x:c>
    </x:row>
    <x:row r="8" ht="35" customHeight="1">
      <x:c r="A8" s="89" t="str">
        <x:v>AUTH-002</x:v>
      </x:c>
      <x:c r="B8" s="89" t="str">
        <x:v>Login</x:v>
      </x:c>
      <x:c r="C8" s="89" t="str">
        <x:v>Passed</x:v>
      </x:c>
      <x:c r="D8" s="89" t="n">
        <x:v>1</x:v>
      </x:c>
      <x:c r="E8" s="89" t="str">
        <x:v>POST</x:v>
      </x:c>
      <x:c r="F8" s="89" t="str">
        <x:v>/api/v1/auth/login</x:v>
      </x:c>
      <x:c r="G8" s="90" t="str">
        <x:v>null</x:v>
      </x:c>
      <x:c r="H8" s="90" t="str">
        <x:v>{"email":"alex.chen@grow8.dev","password":"&lt;redacted&gt;"}</x:v>
      </x:c>
      <x:c r="I8" s="90" t="n">
        <x:v>200</x:v>
      </x:c>
      <x:c r="J8" s="90" t="str">
        <x:v>{"access_token":"&lt;redacted&gt;","token_type":"bearer","expires_in":3600,"user":{"user_id":5,"email":"alex.chen@grow8.dev","full_name":"Alex Chen","role":"contributor"}}</x:v>
      </x:c>
      <x:c r="K8" s="89" t="str">
        <x:v>Case duration 626 ms</x:v>
      </x:c>
    </x:row>
    <x:row r="9" ht="35" customHeight="1">
      <x:c r="A9" s="89" t="str">
        <x:v>AUTH-003</x:v>
      </x:c>
      <x:c r="B9" s="89" t="str">
        <x:v>Login</x:v>
      </x:c>
      <x:c r="C9" s="89" t="str">
        <x:v>Passed</x:v>
      </x:c>
      <x:c r="D9" s="89" t="n">
        <x:v>1</x:v>
      </x:c>
      <x:c r="E9" s="89" t="str">
        <x:v>POST</x:v>
      </x:c>
      <x:c r="F9" s="89" t="str">
        <x:v>/api/v1/auth/login</x:v>
      </x:c>
      <x:c r="G9" s="90" t="str">
        <x:v>null</x:v>
      </x:c>
      <x:c r="H9" s="90" t="str">
        <x:v>{"email":"admin@grow8.dev","password":"&lt;redacted&gt;"}</x:v>
      </x:c>
      <x:c r="I9" s="90" t="n">
        <x:v>200</x:v>
      </x:c>
      <x:c r="J9" s="90" t="str">
        <x:v>{"access_token":"&lt;redacted&gt;","token_type":"bearer","expires_in":3600,"user":{"user_id":1,"email":"admin@grow8.dev","full_name":"Ada Admin","role":"admin"}}</x:v>
      </x:c>
      <x:c r="K9" s="89" t="str">
        <x:v>Case duration 600 ms</x:v>
      </x:c>
    </x:row>
    <x:row r="10" ht="35" customHeight="1">
      <x:c r="A10" s="89" t="str">
        <x:v>AUTH-004</x:v>
      </x:c>
      <x:c r="B10" s="89" t="str">
        <x:v>Login</x:v>
      </x:c>
      <x:c r="C10" s="89" t="str">
        <x:v>Passed</x:v>
      </x:c>
      <x:c r="D10" s="89" t="n">
        <x:v>1</x:v>
      </x:c>
      <x:c r="E10" s="89" t="str">
        <x:v>POST</x:v>
      </x:c>
      <x:c r="F10" s="89" t="str">
        <x:v>/api/v1/auth/login</x:v>
      </x:c>
      <x:c r="G10" s="90" t="str">
        <x:v>null</x:v>
      </x:c>
      <x:c r="H10" s="90" t="str">
        <x:v>{"email":"MAPLE.BAKERY@GROW8.DEV","password":"&lt;redacted&gt;"}</x:v>
      </x:c>
      <x:c r="I10" s="90" t="n">
        <x:v>200</x:v>
      </x:c>
      <x:c r="J10" s="90" t="str">
        <x:v>{"access_token":"&lt;redacted&gt;","token_type":"bearer","expires_in":3600,"user":{"user_id":2,"email":"maple.bakery@grow8.dev","full_name":"Priya Nair","role":"creator"}}</x:v>
      </x:c>
      <x:c r="K10" s="89" t="str">
        <x:v>Case duration 660 ms</x:v>
      </x:c>
    </x:row>
    <x:row r="11" ht="35" customHeight="1">
      <x:c r="A11" s="89" t="str">
        <x:v>AUTH-005</x:v>
      </x:c>
      <x:c r="B11" s="89" t="str">
        <x:v>Login</x:v>
      </x:c>
      <x:c r="C11" s="89" t="str">
        <x:v>Passed</x:v>
      </x:c>
      <x:c r="D11" s="89" t="n">
        <x:v>1</x:v>
      </x:c>
      <x:c r="E11" s="89" t="str">
        <x:v>POST</x:v>
      </x:c>
      <x:c r="F11" s="89" t="str">
        <x:v>/api/v1/auth/login</x:v>
      </x:c>
      <x:c r="G11" s="90" t="str">
        <x:v>null</x:v>
      </x:c>
      <x:c r="H11" s="90" t="str">
        <x:v>{"email":"  maple.bakery@grow8.dev  ","password":"&lt;redacted&gt;"}</x:v>
      </x:c>
      <x:c r="I11" s="90" t="n">
        <x:v>200</x:v>
      </x:c>
      <x:c r="J11" s="90" t="str">
        <x:v>{"access_token":"&lt;redacted&gt;","token_type":"bearer","expires_in":3600,"user":{"user_id":2,"email":"maple.bakery@grow8.dev","full_name":"Priya Nair","role":"creator"}}</x:v>
      </x:c>
      <x:c r="K11" s="89" t="str">
        <x:v>Case duration 565 ms</x:v>
      </x:c>
    </x:row>
    <x:row r="12" ht="35" customHeight="1">
      <x:c r="A12" s="89" t="str">
        <x:v>AUTH-006</x:v>
      </x:c>
      <x:c r="B12" s="89" t="str">
        <x:v>Login</x:v>
      </x:c>
      <x:c r="C12" s="89" t="str">
        <x:v>Passed</x:v>
      </x:c>
      <x:c r="D12" s="89" t="n">
        <x:v>1</x:v>
      </x:c>
      <x:c r="E12" s="89" t="str">
        <x:v>POST</x:v>
      </x:c>
      <x:c r="F12" s="89" t="str">
        <x:v>/api/v1/auth/login</x:v>
      </x:c>
      <x:c r="G12" s="90" t="str">
        <x:v>null</x:v>
      </x:c>
      <x:c r="H12" s="90" t="str">
        <x:v>{"email":"maple.bakery@grow8.dev","password":"&lt;redacted&gt;"}</x:v>
      </x:c>
      <x:c r="I12" s="90" t="n">
        <x:v>200</x:v>
      </x:c>
      <x:c r="J12" s="90" t="str">
        <x:v>{"access_token":"&lt;redacted&gt;","token_type":"bearer","expires_in":3600,"user":{"user_id":2,"email":"maple.bakery@grow8.dev","full_name":"Priya Nair","role":"creator"}}</x:v>
      </x:c>
      <x:c r="K12" s="89" t="str">
        <x:v>Case duration 619 ms</x:v>
      </x:c>
    </x:row>
    <x:row r="13" ht="35" customHeight="1">
      <x:c r="A13" s="89" t="str">
        <x:v>AUTH-007</x:v>
      </x:c>
      <x:c r="B13" s="89" t="str">
        <x:v>Login</x:v>
      </x:c>
      <x:c r="C13" s="89" t="str">
        <x:v>Passed</x:v>
      </x:c>
      <x:c r="D13" s="89" t="n">
        <x:v>1</x:v>
      </x:c>
      <x:c r="E13" s="89" t="str">
        <x:v>POST</x:v>
      </x:c>
      <x:c r="F13" s="89" t="str">
        <x:v>/api/v1/auth/login</x:v>
      </x:c>
      <x:c r="G13" s="90" t="str">
        <x:v>null</x:v>
      </x:c>
      <x:c r="H13" s="90" t="str">
        <x:v>{"email":"maple.bakery@grow8.dev","password":"&lt;redacted&gt;"}</x:v>
      </x:c>
      <x:c r="I13" s="90" t="n">
        <x:v>200</x:v>
      </x:c>
      <x:c r="J13" s="90" t="str">
        <x:v>{"access_token":"&lt;redacted&gt;","token_type":"bearer","expires_in":3600,"user":{"user_id":2,"email":"maple.bakery@grow8.dev","full_name":"Priya Nair","role":"creator"}}</x:v>
      </x:c>
      <x:c r="K13" s="89" t="str"/>
    </x:row>
    <x:row r="14" ht="35" customHeight="1">
      <x:c r="A14" s="89" t="str">
        <x:v>AUTH-007</x:v>
      </x:c>
      <x:c r="B14" s="89" t="str">
        <x:v>Login</x:v>
      </x:c>
      <x:c r="C14" s="89" t="str">
        <x:v>Passed</x:v>
      </x:c>
      <x:c r="D14" s="89" t="n">
        <x:v>2</x:v>
      </x:c>
      <x:c r="E14" s="89" t="str">
        <x:v>POST</x:v>
      </x:c>
      <x:c r="F14" s="89" t="str">
        <x:v>/api/v1/auth/login</x:v>
      </x:c>
      <x:c r="G14" s="90" t="str">
        <x:v>null</x:v>
      </x:c>
      <x:c r="H14" s="90" t="str">
        <x:v>{"email":"maple.bakery@grow8.dev","password":"&lt;redacted&gt;"}</x:v>
      </x:c>
      <x:c r="I14" s="90" t="n">
        <x:v>200</x:v>
      </x:c>
      <x:c r="J14" s="90" t="str">
        <x:v>{"access_token":"&lt;redacted&gt;","token_type":"bearer","expires_in":3600,"user":{"user_id":2,"email":"maple.bakery@grow8.dev","full_name":"Priya Nair","role":"creator"}}</x:v>
      </x:c>
      <x:c r="K14" s="89" t="str">
        <x:v>Case duration 00:00:01</x:v>
      </x:c>
    </x:row>
    <x:row r="15" ht="35" customHeight="1">
      <x:c r="A15" s="89" t="str">
        <x:v>AUTH-008</x:v>
      </x:c>
      <x:c r="B15" s="89" t="str">
        <x:v>Login</x:v>
      </x:c>
      <x:c r="C15" s="89" t="str">
        <x:v>Passed</x:v>
      </x:c>
      <x:c r="D15" s="89" t="n">
        <x:v>1</x:v>
      </x:c>
      <x:c r="E15" s="89" t="str">
        <x:v>POST</x:v>
      </x:c>
      <x:c r="F15" s="89" t="str">
        <x:v>/api/v1/auth/login</x:v>
      </x:c>
      <x:c r="G15" s="90" t="str">
        <x:v>null</x:v>
      </x:c>
      <x:c r="H15" s="90" t="str">
        <x:v>{"email":"maple.bakery@grow8.dev","password":"&lt;redacted&gt;"}</x:v>
      </x:c>
      <x:c r="I15" s="90" t="n">
        <x:v>401</x:v>
      </x:c>
      <x:c r="J15" s="90" t="str">
        <x:v>{"error":{"code":"INVALID_CREDENTIALS","message":"Incorrect email or password"}}</x:v>
      </x:c>
      <x:c r="K15" s="89" t="str">
        <x:v>Case duration 756 ms</x:v>
      </x:c>
    </x:row>
    <x:row r="16" ht="35" customHeight="1">
      <x:c r="A16" s="89" t="str">
        <x:v>AUTH-009</x:v>
      </x:c>
      <x:c r="B16" s="89" t="str">
        <x:v>Login</x:v>
      </x:c>
      <x:c r="C16" s="89" t="str">
        <x:v>Passed</x:v>
      </x:c>
      <x:c r="D16" s="89" t="n">
        <x:v>1</x:v>
      </x:c>
      <x:c r="E16" s="89" t="str">
        <x:v>POST</x:v>
      </x:c>
      <x:c r="F16" s="89" t="str">
        <x:v>/api/v1/auth/login</x:v>
      </x:c>
      <x:c r="G16" s="90" t="str">
        <x:v>null</x:v>
      </x:c>
      <x:c r="H16" s="90" t="str">
        <x:v>{"email":"not-registered@grow8.dev","password":"&lt;redacted&gt;"}</x:v>
      </x:c>
      <x:c r="I16" s="90" t="n">
        <x:v>401</x:v>
      </x:c>
      <x:c r="J16" s="90" t="str">
        <x:v>{"error":{"code":"INVALID_CREDENTIALS","message":"Incorrect email or password"}}</x:v>
      </x:c>
      <x:c r="K16" s="89" t="str">
        <x:v>Case duration 629 ms</x:v>
      </x:c>
    </x:row>
    <x:row r="17" ht="35" customHeight="1">
      <x:c r="A17" s="89" t="str">
        <x:v>AUTH-010</x:v>
      </x:c>
      <x:c r="B17" s="89" t="str">
        <x:v>Login</x:v>
      </x:c>
      <x:c r="C17" s="89" t="str">
        <x:v>Passed</x:v>
      </x:c>
      <x:c r="D17" s="89" t="n">
        <x:v>1</x:v>
      </x:c>
      <x:c r="E17" s="89" t="str">
        <x:v>POST</x:v>
      </x:c>
      <x:c r="F17" s="89" t="str">
        <x:v>/api/v1/auth/login</x:v>
      </x:c>
      <x:c r="G17" s="90" t="str">
        <x:v>null</x:v>
      </x:c>
      <x:c r="H17" s="90" t="str">
        <x:v>{"email":"maple.bakery@grow8.dev","password":"&lt;redacted&gt;"}</x:v>
      </x:c>
      <x:c r="I17" s="90" t="n">
        <x:v>401</x:v>
      </x:c>
      <x:c r="J17" s="90" t="str">
        <x:v>{"error":{"code":"INVALID_CREDENTIALS","message":"Incorrect email or password"}}</x:v>
      </x:c>
      <x:c r="K17" s="89" t="str">
        <x:v>Case duration 550 ms</x:v>
      </x:c>
    </x:row>
    <x:row r="18" ht="35" customHeight="1">
      <x:c r="A18" s="89" t="str">
        <x:v>AUTH-011</x:v>
      </x:c>
      <x:c r="B18" s="89" t="str">
        <x:v>Login</x:v>
      </x:c>
      <x:c r="C18" s="89" t="str">
        <x:v>Passed</x:v>
      </x:c>
      <x:c r="D18" s="89" t="n">
        <x:v>1</x:v>
      </x:c>
      <x:c r="E18" s="89" t="str">
        <x:v>POST</x:v>
      </x:c>
      <x:c r="F18" s="89" t="str">
        <x:v>/api/v1/auth/login</x:v>
      </x:c>
      <x:c r="G18" s="90" t="str">
        <x:v>null</x:v>
      </x:c>
      <x:c r="H18" s="90" t="str">
        <x:v>{"email":"maple.bakery@grow8.dev","password":"&lt;redacted&gt;"}</x:v>
      </x:c>
      <x:c r="I18" s="90" t="n">
        <x:v>401</x:v>
      </x:c>
      <x:c r="J18" s="90" t="str">
        <x:v>{"error":{"code":"INVALID_CREDENTIALS","message":"Incorrect email or password"}}</x:v>
      </x:c>
      <x:c r="K18" s="89" t="str">
        <x:v>Case duration 696 ms</x:v>
      </x:c>
    </x:row>
    <x:row r="19" ht="35" customHeight="1">
      <x:c r="A19" s="89" t="str">
        <x:v>AUTH-012</x:v>
      </x:c>
      <x:c r="B19" s="89" t="str">
        <x:v>Login</x:v>
      </x:c>
      <x:c r="C19" s="89" t="str">
        <x:v>Passed</x:v>
      </x:c>
      <x:c r="D19" s="89" t="n">
        <x:v>1</x:v>
      </x:c>
      <x:c r="E19" s="89" t="str">
        <x:v>POST</x:v>
      </x:c>
      <x:c r="F19" s="89" t="str">
        <x:v>/api/v1/auth/login</x:v>
      </x:c>
      <x:c r="G19" s="90" t="str">
        <x:v>null</x:v>
      </x:c>
      <x:c r="H19" s="90" t="str">
        <x:v>{"email":"maple.bakery@grow8.dev","password":"&lt;redacted&gt;"}</x:v>
      </x:c>
      <x:c r="I19" s="90" t="n">
        <x:v>401</x:v>
      </x:c>
      <x:c r="J19" s="90" t="str">
        <x:v>{"error":{"code":"INVALID_CREDENTIALS","message":"Incorrect email or password"}}</x:v>
      </x:c>
      <x:c r="K19" s="89" t="str">
        <x:v>Case duration 596 ms</x:v>
      </x:c>
    </x:row>
    <x:row r="20" ht="35" customHeight="1">
      <x:c r="A20" s="89" t="str">
        <x:v>AUTH-013</x:v>
      </x:c>
      <x:c r="B20" s="89" t="str">
        <x:v>Login</x:v>
      </x:c>
      <x:c r="C20" s="89" t="str">
        <x:v>Passed</x:v>
      </x:c>
      <x:c r="D20" s="89" t="n">
        <x:v>1</x:v>
      </x:c>
      <x:c r="E20" s="89" t="str">
        <x:v>POST</x:v>
      </x:c>
      <x:c r="F20" s="89" t="str">
        <x:v>/api/v1/auth/login</x:v>
      </x:c>
      <x:c r="G20" s="90" t="str">
        <x:v>null</x:v>
      </x:c>
      <x:c r="H20" s="90" t="str">
        <x:v>{"email":"' OR 1=1 --","password":"&lt;redacted&gt;"}</x:v>
      </x:c>
      <x:c r="I20" s="90" t="n">
        <x:v>401</x:v>
      </x:c>
      <x:c r="J20" s="90" t="str">
        <x:v>{"error":{"code":"INVALID_CREDENTIALS","message":"Incorrect email or password"}}</x:v>
      </x:c>
      <x:c r="K20" s="89" t="str">
        <x:v>Case duration 657 ms</x:v>
      </x:c>
    </x:row>
    <x:row r="21" ht="35" customHeight="1">
      <x:c r="A21" s="89" t="str">
        <x:v>AUTH-014</x:v>
      </x:c>
      <x:c r="B21" s="89" t="str">
        <x:v>Login</x:v>
      </x:c>
      <x:c r="C21" s="89" t="str">
        <x:v>Passed</x:v>
      </x:c>
      <x:c r="D21" s="89" t="n">
        <x:v>1</x:v>
      </x:c>
      <x:c r="E21" s="89" t="str">
        <x:v>POST</x:v>
      </x:c>
      <x:c r="F21" s="89" t="str">
        <x:v>/api/v1/auth/login</x:v>
      </x:c>
      <x:c r="G21" s="90" t="str">
        <x:v>null</x:v>
      </x:c>
      <x:c r="H21" s="90" t="str">
        <x:v>{"email":"not-an-email","password":"&lt;redacted&gt;"}</x:v>
      </x:c>
      <x:c r="I21" s="90" t="n">
        <x:v>401</x:v>
      </x:c>
      <x:c r="J21" s="90" t="str">
        <x:v>{"error":{"code":"INVALID_CREDENTIALS","message":"Incorrect email or password"}}</x:v>
      </x:c>
      <x:c r="K21" s="89" t="str">
        <x:v>Case duration 625 ms</x:v>
      </x:c>
    </x:row>
    <x:row r="22" ht="35" customHeight="1">
      <x:c r="A22" s="89" t="str">
        <x:v>AUTH-015</x:v>
      </x:c>
      <x:c r="B22" s="89" t="str">
        <x:v>Login</x:v>
      </x:c>
      <x:c r="C22" s="89" t="str">
        <x:v>Passed</x:v>
      </x:c>
      <x:c r="D22" s="89" t="n">
        <x:v>1</x:v>
      </x:c>
      <x:c r="E22" s="89" t="str">
        <x:v>POST</x:v>
      </x:c>
      <x:c r="F22" s="89" t="str">
        <x:v>/api/v1/auth/login</x:v>
      </x:c>
      <x:c r="G22" s="90" t="str">
        <x:v>null</x:v>
      </x:c>
      <x:c r="H22" s="90" t="str">
        <x:v>{"email":"maple.bakery@grow8.dev","password":"&lt;redacted&gt;"}</x:v>
      </x:c>
      <x:c r="I22" s="90" t="n">
        <x:v>401</x:v>
      </x:c>
      <x:c r="J22" s="90" t="str">
        <x:v>{"error":{"code":"INVALID_CREDENTIALS","message":"Incorrect email or password"}}</x:v>
      </x:c>
      <x:c r="K22" s="89" t="str"/>
    </x:row>
    <x:row r="23" ht="35" customHeight="1">
      <x:c r="A23" s="89" t="str">
        <x:v>AUTH-015</x:v>
      </x:c>
      <x:c r="B23" s="89" t="str">
        <x:v>Login</x:v>
      </x:c>
      <x:c r="C23" s="89" t="str">
        <x:v>Passed</x:v>
      </x:c>
      <x:c r="D23" s="89" t="n">
        <x:v>2</x:v>
      </x:c>
      <x:c r="E23" s="89" t="str">
        <x:v>POST</x:v>
      </x:c>
      <x:c r="F23" s="89" t="str">
        <x:v>/api/v1/auth/login</x:v>
      </x:c>
      <x:c r="G23" s="90" t="str">
        <x:v>null</x:v>
      </x:c>
      <x:c r="H23" s="90" t="str">
        <x:v>{"email":"absent@grow8.dev","password":"&lt;redacted&gt;"}</x:v>
      </x:c>
      <x:c r="I23" s="90" t="n">
        <x:v>401</x:v>
      </x:c>
      <x:c r="J23" s="90" t="str">
        <x:v>{"error":{"code":"INVALID_CREDENTIALS","message":"Incorrect email or password"}}</x:v>
      </x:c>
      <x:c r="K23" s="89" t="str">
        <x:v>Case duration 00:00:01</x:v>
      </x:c>
    </x:row>
    <x:row r="24" ht="35" customHeight="1">
      <x:c r="A24" s="89" t="str">
        <x:v>AUTH-016</x:v>
      </x:c>
      <x:c r="B24" s="89" t="str">
        <x:v>Login</x:v>
      </x:c>
      <x:c r="C24" s="89" t="str">
        <x:v>Passed</x:v>
      </x:c>
      <x:c r="D24" s="89" t="n">
        <x:v>1</x:v>
      </x:c>
      <x:c r="E24" s="89" t="str">
        <x:v>POST</x:v>
      </x:c>
      <x:c r="F24" s="89" t="str">
        <x:v>/api/v1/auth/login</x:v>
      </x:c>
      <x:c r="G24" s="90" t="str">
        <x:v>null</x:v>
      </x:c>
      <x:c r="H24" s="90" t="str">
        <x:v>{"password":"&lt;redacted&gt;"}</x:v>
      </x:c>
      <x:c r="I24" s="90" t="n">
        <x:v>422</x:v>
      </x:c>
      <x:c r="J24" s="90" t="str">
        <x:v>{"error":{"code":"VALIDATION_ERROR","message":"Request validation failed","details":[{"loc":["body","email"],"message":"Field required","type":"missing"}]}}</x:v>
      </x:c>
      <x:c r="K24" s="89" t="str">
        <x:v>Case duration 242 ms</x:v>
      </x:c>
    </x:row>
    <x:row r="25" ht="35" customHeight="1">
      <x:c r="A25" s="89" t="str">
        <x:v>AUTH-017</x:v>
      </x:c>
      <x:c r="B25" s="89" t="str">
        <x:v>Login</x:v>
      </x:c>
      <x:c r="C25" s="89" t="str">
        <x:v>Passed</x:v>
      </x:c>
      <x:c r="D25" s="89" t="n">
        <x:v>1</x:v>
      </x:c>
      <x:c r="E25" s="89" t="str">
        <x:v>POST</x:v>
      </x:c>
      <x:c r="F25" s="89" t="str">
        <x:v>/api/v1/auth/login</x:v>
      </x:c>
      <x:c r="G25" s="90" t="str">
        <x:v>null</x:v>
      </x:c>
      <x:c r="H25" s="90" t="str">
        <x:v>{"email":"maple.bakery@grow8.dev"}</x:v>
      </x:c>
      <x:c r="I25" s="90" t="n">
        <x:v>422</x:v>
      </x:c>
      <x:c r="J25" s="90" t="str">
        <x:v>{"error":{"code":"VALIDATION_ERROR","message":"Request validation failed","details":[{"loc":["body","password"],"message":"Field required","type":"missing"}]}}</x:v>
      </x:c>
      <x:c r="K25" s="89" t="str">
        <x:v>Case duration 161 ms</x:v>
      </x:c>
    </x:row>
    <x:row r="26" ht="35" customHeight="1">
      <x:c r="A26" s="89" t="str">
        <x:v>AUTH-018</x:v>
      </x:c>
      <x:c r="B26" s="89" t="str">
        <x:v>Login</x:v>
      </x:c>
      <x:c r="C26" s="89" t="str">
        <x:v>Passed</x:v>
      </x:c>
      <x:c r="D26" s="89" t="n">
        <x:v>1</x:v>
      </x:c>
      <x:c r="E26" s="89" t="str">
        <x:v>POST</x:v>
      </x:c>
      <x:c r="F26" s="89" t="str">
        <x:v>/api/v1/auth/login</x:v>
      </x:c>
      <x:c r="G26" s="90" t="str">
        <x:v>null</x:v>
      </x:c>
      <x:c r="H26" s="90" t="str">
        <x:v>{}</x:v>
      </x:c>
      <x:c r="I26" s="90" t="n">
        <x:v>422</x:v>
      </x:c>
      <x:c r="J26" s="90" t="str">
        <x:v>{"error":{"code":"VALIDATION_ERROR","message":"Request validation failed","details":[{"loc":["body","email"],"message":"Field required","type":"missing"},{"loc":["body","password"],"message":"Field required","type":"missing"}]}}</x:v>
      </x:c>
      <x:c r="K26" s="89" t="str">
        <x:v>Case duration 160 ms</x:v>
      </x:c>
    </x:row>
    <x:row r="27" ht="35" customHeight="1">
      <x:c r="A27" s="89" t="str">
        <x:v>AUTH-019</x:v>
      </x:c>
      <x:c r="B27" s="89" t="str">
        <x:v>Login</x:v>
      </x:c>
      <x:c r="C27" s="89" t="str">
        <x:v>Passed</x:v>
      </x:c>
      <x:c r="D27" s="89" t="n">
        <x:v>1</x:v>
      </x:c>
      <x:c r="E27" s="89" t="str">
        <x:v>POST</x:v>
      </x:c>
      <x:c r="F27" s="89" t="str">
        <x:v>/api/v1/auth/login</x:v>
      </x:c>
      <x:c r="G27" s="90" t="str">
        <x:v>null</x:v>
      </x:c>
      <x:c r="H27" s="90" t="str">
        <x:v>{"email":"","password":"&lt;redacted&gt;"}</x:v>
      </x:c>
      <x:c r="I27" s="90" t="n">
        <x:v>422</x:v>
      </x:c>
      <x:c r="J27" s="90" t="str">
        <x:v>{"error":{"code":"VALIDATION_ERROR","message":"Request validation failed","details":[{"loc":["body","email"],"message":"String should have at least 3 characters","type":"string_too_short"}]}}</x:v>
      </x:c>
      <x:c r="K27" s="89" t="str">
        <x:v>Case duration 160 ms</x:v>
      </x:c>
    </x:row>
    <x:row r="28" ht="35" customHeight="1">
      <x:c r="A28" s="89" t="str">
        <x:v>AUTH-020</x:v>
      </x:c>
      <x:c r="B28" s="89" t="str">
        <x:v>Login</x:v>
      </x:c>
      <x:c r="C28" s="89" t="str">
        <x:v>Passed</x:v>
      </x:c>
      <x:c r="D28" s="89" t="n">
        <x:v>1</x:v>
      </x:c>
      <x:c r="E28" s="89" t="str">
        <x:v>POST</x:v>
      </x:c>
      <x:c r="F28" s="89" t="str">
        <x:v>/api/v1/auth/login</x:v>
      </x:c>
      <x:c r="G28" s="90" t="str">
        <x:v>null</x:v>
      </x:c>
      <x:c r="H28" s="90" t="str">
        <x:v>{"email":"maple.bakery@grow8.dev","password":"&lt;redacted&gt;"}</x:v>
      </x:c>
      <x:c r="I28" s="90" t="n">
        <x:v>422</x:v>
      </x:c>
      <x:c r="J28" s="90" t="str">
        <x:v>{"error":{"code":"VALIDATION_ERROR","message":"Request validation failed","details":[{"loc":["body","password"],"message":"String should have at least 1 character","type":"string_too_short"}]}}</x:v>
      </x:c>
      <x:c r="K28" s="89" t="str">
        <x:v>Case duration 174 ms</x:v>
      </x:c>
    </x:row>
    <x:row r="29" ht="35" customHeight="1">
      <x:c r="A29" s="89" t="str">
        <x:v>AUTH-021</x:v>
      </x:c>
      <x:c r="B29" s="89" t="str">
        <x:v>Login</x:v>
      </x:c>
      <x:c r="C29" s="89" t="str">
        <x:v>Passed</x:v>
      </x:c>
      <x:c r="D29" s="89" t="n">
        <x:v>1</x:v>
      </x:c>
      <x:c r="E29" s="89" t="str">
        <x:v>POST</x:v>
      </x:c>
      <x:c r="F29" s="89" t="str">
        <x:v>/api/v1/auth/login</x:v>
      </x:c>
      <x:c r="G29" s="90" t="str">
        <x:v>null</x:v>
      </x:c>
      <x:c r="H29" s="90" t="str">
        <x:v>{"email":"ab","password":"&lt;redacted&gt;"}</x:v>
      </x:c>
      <x:c r="I29" s="90" t="n">
        <x:v>422</x:v>
      </x:c>
      <x:c r="J29" s="90" t="str">
        <x:v>{"error":{"code":"VALIDATION_ERROR","message":"Request validation failed","details":[{"loc":["body","email"],"message":"String should have at least 3 characters","type":"string_too_short"}]}}</x:v>
      </x:c>
      <x:c r="K29" s="89" t="str">
        <x:v>Case duration 165 ms</x:v>
      </x:c>
    </x:row>
    <x:row r="30" ht="35" customHeight="1">
      <x:c r="A30" s="89" t="str">
        <x:v>AUTH-022</x:v>
      </x:c>
      <x:c r="B30" s="89" t="str">
        <x:v>Login</x:v>
      </x:c>
      <x:c r="C30" s="89" t="str">
        <x:v>Passed</x:v>
      </x:c>
      <x:c r="D30" s="89" t="n">
        <x:v>1</x:v>
      </x:c>
      <x:c r="E30" s="89" t="str">
        <x:v>POST</x:v>
      </x:c>
      <x:c r="F30" s="89" t="str">
        <x:v>/api/v1/auth/login</x:v>
      </x:c>
      <x:c r="G30" s="90" t="str">
        <x:v>null</x:v>
      </x:c>
      <x:c r="H30" s="90" t="str">
        <x:v>{"email":"aaaaaaaaaaaaaaaaaaaaaaaaaaaaaaaaaaaaaaaaaaaaaaaaaaaaaaaaaaaaaaaaaaaaaaaaaaaaaaaaaaaaaaaaaaaaaaaaaaaaaaaaaaaaaaaaaaaaaaaaaaaaaaaaaaaaaaaaaaaaaaaaaaaaaaaaaaaaaaaaaaaaaaaaaaaaaaaaaaaaaaaaaaaaaaaaaaaaaaaaaaaaaaaaaaaaaaaaaaaaaaaaaaaaaaaaaaaaaaaaaaaaaaaaaaaaaaaa","password":"&lt;redacted&gt;"}</x:v>
      </x:c>
      <x:c r="I30" s="90" t="n">
        <x:v>422</x:v>
      </x:c>
      <x:c r="J30" s="90" t="str">
        <x:v>{"error":{"code":"VALIDATION_ERROR","message":"Request validation failed","details":[{"loc":["body","email"],"message":"String should have at most 255 characters","type":"string_too_long"}]}}</x:v>
      </x:c>
      <x:c r="K30" s="89" t="str">
        <x:v>Case duration 183 ms</x:v>
      </x:c>
    </x:row>
    <x:row r="31" ht="35" customHeight="1">
      <x:c r="A31" s="89" t="str">
        <x:v>AUTH-023</x:v>
      </x:c>
      <x:c r="B31" s="89" t="str">
        <x:v>Login</x:v>
      </x:c>
      <x:c r="C31" s="89" t="str">
        <x:v>Passed</x:v>
      </x:c>
      <x:c r="D31" s="89" t="n">
        <x:v>1</x:v>
      </x:c>
      <x:c r="E31" s="89" t="str">
        <x:v>POST</x:v>
      </x:c>
      <x:c r="F31" s="89" t="str">
        <x:v>/api/v1/auth/login</x:v>
      </x:c>
      <x:c r="G31" s="90" t="str">
        <x:v>null</x:v>
      </x:c>
      <x:c r="H31" s="90" t="str">
        <x:v>{"email":"maple.bakery@grow8.dev","password":"&lt;redacted&gt;"}</x:v>
      </x:c>
      <x:c r="I31" s="90" t="n">
        <x:v>422</x:v>
      </x:c>
      <x:c r="J31" s="90" t="str">
        <x:v>{"error":{"code":"VALIDATION_ERROR","message":"Request validation failed","details":[{"loc":["body","password"],"message":"String should have at most 128 characters","type":"string_too_long"}]}}</x:v>
      </x:c>
      <x:c r="K31" s="89" t="str">
        <x:v>Case duration 143 ms</x:v>
      </x:c>
    </x:row>
    <x:row r="32" ht="35" customHeight="1">
      <x:c r="A32" s="89" t="str">
        <x:v>AUTH-024</x:v>
      </x:c>
      <x:c r="B32" s="89" t="str">
        <x:v>Login</x:v>
      </x:c>
      <x:c r="C32" s="89" t="str">
        <x:v>Failed</x:v>
      </x:c>
      <x:c r="D32" s="89" t="n">
        <x:v>1</x:v>
      </x:c>
      <x:c r="E32" s="89" t="str">
        <x:v>POST</x:v>
      </x:c>
      <x:c r="F32" s="89" t="str">
        <x:v>/api/v1/auth/login</x:v>
      </x:c>
      <x:c r="G32" s="90" t="str">
        <x:v>null</x:v>
      </x:c>
      <x:c r="H32" s="90" t="str">
        <x:v>{"email":"maple.bakery@grow8.dev","password":"&lt;redacted&gt;"}</x:v>
      </x:c>
      <x:c r="I32" s="90" t="n">
        <x:v>200</x:v>
      </x:c>
      <x:c r="J32" s="90" t="str">
        <x:v>{"access_token":"&lt;redacted&gt;","token_type":"bearer","expires_in":3600,"user":{"user_id":2,"email":"maple.bakery@grow8.dev","full_name":"Priya Nair","role":"creator"}}</x:v>
      </x:c>
      <x:c r="K32" s="89" t="str">
        <x:v>Case duration 610 ms</x:v>
      </x:c>
    </x:row>
    <x:row r="33" ht="35" customHeight="1">
      <x:c r="A33" s="89" t="str">
        <x:v>AUTH-025</x:v>
      </x:c>
      <x:c r="B33" s="89" t="str">
        <x:v>Login</x:v>
      </x:c>
      <x:c r="C33" s="89" t="str">
        <x:v>Passed</x:v>
      </x:c>
      <x:c r="D33" s="89" t="n">
        <x:v>1</x:v>
      </x:c>
      <x:c r="E33" s="89" t="str">
        <x:v>POST</x:v>
      </x:c>
      <x:c r="F33" s="89" t="str">
        <x:v>/api/v1/auth/login</x:v>
      </x:c>
      <x:c r="G33" s="90" t="str">
        <x:v>null</x:v>
      </x:c>
      <x:c r="H33" s="90" t="str">
        <x:v>{"email":42,"password":"&lt;redacted&gt;"}</x:v>
      </x:c>
      <x:c r="I33" s="90" t="n">
        <x:v>422</x:v>
      </x:c>
      <x:c r="J33" s="90" t="str">
        <x:v>{"error":{"code":"VALIDATION_ERROR","message":"Request validation failed","details":[{"loc":["body","email"],"message":"Input should be a valid string","type":"string_type"}]}}</x:v>
      </x:c>
      <x:c r="K33" s="89" t="str"/>
    </x:row>
    <x:row r="34" ht="35" customHeight="1">
      <x:c r="A34" s="89" t="str">
        <x:v>AUTH-025</x:v>
      </x:c>
      <x:c r="B34" s="89" t="str">
        <x:v>Login</x:v>
      </x:c>
      <x:c r="C34" s="89" t="str">
        <x:v>Passed</x:v>
      </x:c>
      <x:c r="D34" s="89" t="n">
        <x:v>2</x:v>
      </x:c>
      <x:c r="E34" s="89" t="str">
        <x:v>POST</x:v>
      </x:c>
      <x:c r="F34" s="89" t="str">
        <x:v>/api/v1/auth/login</x:v>
      </x:c>
      <x:c r="G34" s="90" t="str">
        <x:v>null</x:v>
      </x:c>
      <x:c r="H34" s="90" t="str">
        <x:v>{"email":[],"password":"&lt;redacted&gt;"}</x:v>
      </x:c>
      <x:c r="I34" s="90" t="n">
        <x:v>422</x:v>
      </x:c>
      <x:c r="J34" s="90" t="str">
        <x:v>{"error":{"code":"VALIDATION_ERROR","message":"Request validation failed","details":[{"loc":["body","email"],"message":"Input should be a valid string","type":"string_type"}]}}</x:v>
      </x:c>
      <x:c r="K34" s="89" t="str"/>
    </x:row>
    <x:row r="35" ht="35" customHeight="1">
      <x:c r="A35" s="89" t="str">
        <x:v>AUTH-025</x:v>
      </x:c>
      <x:c r="B35" s="89" t="str">
        <x:v>Login</x:v>
      </x:c>
      <x:c r="C35" s="89" t="str">
        <x:v>Passed</x:v>
      </x:c>
      <x:c r="D35" s="89" t="n">
        <x:v>3</x:v>
      </x:c>
      <x:c r="E35" s="89" t="str">
        <x:v>POST</x:v>
      </x:c>
      <x:c r="F35" s="89" t="str">
        <x:v>/api/v1/auth/login</x:v>
      </x:c>
      <x:c r="G35" s="90" t="str">
        <x:v>null</x:v>
      </x:c>
      <x:c r="H35" s="90" t="str">
        <x:v>{"email":{},"password":"&lt;redacted&gt;"}</x:v>
      </x:c>
      <x:c r="I35" s="90" t="n">
        <x:v>422</x:v>
      </x:c>
      <x:c r="J35" s="90" t="str">
        <x:v>{"error":{"code":"VALIDATION_ERROR","message":"Request validation failed","details":[{"loc":["body","email"],"message":"Input should be a valid string","type":"string_type"}]}}</x:v>
      </x:c>
      <x:c r="K35" s="89" t="str"/>
    </x:row>
    <x:row r="36" ht="35" customHeight="1">
      <x:c r="A36" s="89" t="str">
        <x:v>AUTH-025</x:v>
      </x:c>
      <x:c r="B36" s="89" t="str">
        <x:v>Login</x:v>
      </x:c>
      <x:c r="C36" s="89" t="str">
        <x:v>Passed</x:v>
      </x:c>
      <x:c r="D36" s="89" t="n">
        <x:v>4</x:v>
      </x:c>
      <x:c r="E36" s="89" t="str">
        <x:v>POST</x:v>
      </x:c>
      <x:c r="F36" s="89" t="str">
        <x:v>/api/v1/auth/login</x:v>
      </x:c>
      <x:c r="G36" s="90" t="str">
        <x:v>null</x:v>
      </x:c>
      <x:c r="H36" s="90" t="str">
        <x:v>{"email":"maple.bakery@grow8.dev","password":"&lt;redacted&gt;"}</x:v>
      </x:c>
      <x:c r="I36" s="90" t="n">
        <x:v>422</x:v>
      </x:c>
      <x:c r="J36" s="90" t="str">
        <x:v>{"error":{"code":"VALIDATION_ERROR","message":"Request validation failed","details":[{"loc":["body","password"],"message":"Input should be a valid string","type":"string_type"}]}}</x:v>
      </x:c>
      <x:c r="K36" s="89" t="str"/>
    </x:row>
    <x:row r="37" ht="35" customHeight="1">
      <x:c r="A37" s="89" t="str">
        <x:v>AUTH-025</x:v>
      </x:c>
      <x:c r="B37" s="89" t="str">
        <x:v>Login</x:v>
      </x:c>
      <x:c r="C37" s="89" t="str">
        <x:v>Passed</x:v>
      </x:c>
      <x:c r="D37" s="89" t="n">
        <x:v>5</x:v>
      </x:c>
      <x:c r="E37" s="89" t="str">
        <x:v>POST</x:v>
      </x:c>
      <x:c r="F37" s="89" t="str">
        <x:v>/api/v1/auth/login</x:v>
      </x:c>
      <x:c r="G37" s="90" t="str">
        <x:v>null</x:v>
      </x:c>
      <x:c r="H37" s="90" t="str">
        <x:v>{"email":"maple.bakery@grow8.dev","password":"&lt;redacted&gt;"}</x:v>
      </x:c>
      <x:c r="I37" s="90" t="n">
        <x:v>422</x:v>
      </x:c>
      <x:c r="J37" s="90" t="str">
        <x:v>{"error":{"code":"VALIDATION_ERROR","message":"Request validation failed","details":[{"loc":["body","password"],"message":"Input should be a valid string","type":"string_type"}]}}</x:v>
      </x:c>
      <x:c r="K37" s="89" t="str"/>
    </x:row>
    <x:row r="38" ht="35" customHeight="1">
      <x:c r="A38" s="89" t="str">
        <x:v>AUTH-025</x:v>
      </x:c>
      <x:c r="B38" s="89" t="str">
        <x:v>Login</x:v>
      </x:c>
      <x:c r="C38" s="89" t="str">
        <x:v>Passed</x:v>
      </x:c>
      <x:c r="D38" s="89" t="n">
        <x:v>6</x:v>
      </x:c>
      <x:c r="E38" s="89" t="str">
        <x:v>POST</x:v>
      </x:c>
      <x:c r="F38" s="89" t="str">
        <x:v>/api/v1/auth/login</x:v>
      </x:c>
      <x:c r="G38" s="90" t="str">
        <x:v>null</x:v>
      </x:c>
      <x:c r="H38" s="90" t="str">
        <x:v>{"email":"maple.bakery@grow8.dev","password":"&lt;redacted&gt;"}</x:v>
      </x:c>
      <x:c r="I38" s="90" t="n">
        <x:v>422</x:v>
      </x:c>
      <x:c r="J38" s="90" t="str">
        <x:v>{"error":{"code":"VALIDATION_ERROR","message":"Request validation failed","details":[{"loc":["body","password"],"message":"Input should be a valid string","type":"string_type"}]}}</x:v>
      </x:c>
      <x:c r="K38" s="89" t="str">
        <x:v>Case duration 217 ms</x:v>
      </x:c>
    </x:row>
    <x:row r="39" ht="35" customHeight="1">
      <x:c r="A39" s="89" t="str">
        <x:v>AUTH-026</x:v>
      </x:c>
      <x:c r="B39" s="89" t="str">
        <x:v>Login</x:v>
      </x:c>
      <x:c r="C39" s="89" t="str">
        <x:v>Passed</x:v>
      </x:c>
      <x:c r="D39" s="89" t="n">
        <x:v>1</x:v>
      </x:c>
      <x:c r="E39" s="89" t="str">
        <x:v>POST</x:v>
      </x:c>
      <x:c r="F39" s="89" t="str">
        <x:v>/api/v1/auth/login</x:v>
      </x:c>
      <x:c r="G39" s="90" t="str">
        <x:v>null</x:v>
      </x:c>
      <x:c r="H39" s="90" t="str">
        <x:v>null</x:v>
      </x:c>
      <x:c r="I39" s="90" t="n">
        <x:v>422</x:v>
      </x:c>
      <x:c r="J39" s="90" t="str">
        <x:v>{"error":{"code":"VALIDATION_ERROR","message":"Request validation failed","details":[{"loc":["body",9],"message":"JSON decode error","type":"json_invalid"}]}}</x:v>
      </x:c>
      <x:c r="K39" s="89" t="str">
        <x:v>Case duration 158 ms</x:v>
      </x:c>
    </x:row>
    <x:row r="40" ht="35" customHeight="1">
      <x:c r="A40" s="89" t="str">
        <x:v>AUTH-027</x:v>
      </x:c>
      <x:c r="B40" s="89" t="str">
        <x:v>Login</x:v>
      </x:c>
      <x:c r="C40" s="89" t="str">
        <x:v>Passed</x:v>
      </x:c>
      <x:c r="D40" s="89" t="n">
        <x:v>1</x:v>
      </x:c>
      <x:c r="E40" s="89" t="str">
        <x:v>POST</x:v>
      </x:c>
      <x:c r="F40" s="89" t="str">
        <x:v>/api/v1/auth/login</x:v>
      </x:c>
      <x:c r="G40" s="90" t="str">
        <x:v>null</x:v>
      </x:c>
      <x:c r="H40" s="90" t="str">
        <x:v>{"email":"maple.bakery@grow8.dev","password":"&lt;redacted&gt;"}</x:v>
      </x:c>
      <x:c r="I40" s="90" t="n">
        <x:v>200</x:v>
      </x:c>
      <x:c r="J40" s="90" t="str">
        <x:v>{"access_token":"&lt;redacted&gt;","token_type":"bearer","expires_in":3600,"user":{"user_id":2,"email":"maple.bakery@grow8.dev","full_name":"Priya Nair","role":"creator"}}</x:v>
      </x:c>
      <x:c r="K40" s="89" t="str">
        <x:v>Case duration 579 ms</x:v>
      </x:c>
    </x:row>
    <x:row r="41" ht="35" customHeight="1">
      <x:c r="A41" s="89" t="str">
        <x:v>AUTH-028</x:v>
      </x:c>
      <x:c r="B41" s="89" t="str">
        <x:v>Login</x:v>
      </x:c>
      <x:c r="C41" s="89" t="str">
        <x:v>Passed</x:v>
      </x:c>
      <x:c r="D41" s="89" t="n">
        <x:v>1</x:v>
      </x:c>
      <x:c r="E41" s="89" t="str">
        <x:v>POST</x:v>
      </x:c>
      <x:c r="F41" s="89" t="str">
        <x:v>/api/v1/auth/login</x:v>
      </x:c>
      <x:c r="G41" s="90" t="str">
        <x:v>null</x:v>
      </x:c>
      <x:c r="H41" s="90" t="str">
        <x:v>{"email":"maple.bakery@grow8.dev","password":"&lt;redacted&gt;"}</x:v>
      </x:c>
      <x:c r="I41" s="90" t="n">
        <x:v>200</x:v>
      </x:c>
      <x:c r="J41" s="90" t="str">
        <x:v>{"access_token":"&lt;redacted&gt;","token_type":"bearer","expires_in":3600,"user":{"user_id":2,"email":"maple.bakery@grow8.dev","full_name":"Priya Nair","role":"creator"}}</x:v>
      </x:c>
      <x:c r="K41" s="89" t="str">
        <x:v>Case duration 617 ms</x:v>
      </x:c>
    </x:row>
    <x:row r="42" ht="35" customHeight="1">
      <x:c r="A42" s="89" t="str">
        <x:v>ME-001</x:v>
      </x:c>
      <x:c r="B42" s="89" t="str">
        <x:v>Current User</x:v>
      </x:c>
      <x:c r="C42" s="89" t="str">
        <x:v>Passed</x:v>
      </x:c>
      <x:c r="D42" s="89" t="n">
        <x:v>1</x:v>
      </x:c>
      <x:c r="E42" s="89" t="str">
        <x:v>POST</x:v>
      </x:c>
      <x:c r="F42" s="89" t="str">
        <x:v>/api/v1/auth/login</x:v>
      </x:c>
      <x:c r="G42" s="90" t="str">
        <x:v>null</x:v>
      </x:c>
      <x:c r="H42" s="90" t="str">
        <x:v>{"email":"maple.bakery@grow8.dev","password":"&lt;redacted&gt;"}</x:v>
      </x:c>
      <x:c r="I42" s="90" t="n">
        <x:v>200</x:v>
      </x:c>
      <x:c r="J42" s="90" t="str">
        <x:v>{"access_token":"&lt;redacted&gt;","token_type":"bearer","expires_in":3600,"user":{"user_id":2,"email":"maple.bakery@grow8.dev","full_name":"Priya Nair","role":"creator"}}</x:v>
      </x:c>
      <x:c r="K42" s="89" t="str"/>
    </x:row>
    <x:row r="43" ht="35" customHeight="1">
      <x:c r="A43" s="89" t="str">
        <x:v>ME-001</x:v>
      </x:c>
      <x:c r="B43" s="89" t="str">
        <x:v>Current User</x:v>
      </x:c>
      <x:c r="C43" s="89" t="str">
        <x:v>Passed</x:v>
      </x:c>
      <x:c r="D43" s="89" t="n">
        <x:v>2</x:v>
      </x:c>
      <x:c r="E43" s="89" t="str">
        <x:v>GET</x:v>
      </x:c>
      <x:c r="F43" s="89" t="str">
        <x:v>/api/v1/auth/me</x:v>
      </x:c>
      <x:c r="G43" s="90" t="str">
        <x:v>null</x:v>
      </x:c>
      <x:c r="H43" s="90" t="str">
        <x:v>null</x:v>
      </x:c>
      <x:c r="I43" s="90" t="n">
        <x:v>200</x:v>
      </x:c>
      <x:c r="J43" s="90" t="str">
        <x:v>{"user_id":2,"email":"maple.bakery@grow8.dev","full_name":"Priya Nair","role":"creator"}</x:v>
      </x:c>
      <x:c r="K43" s="89" t="str">
        <x:v>Case duration 606 ms</x:v>
      </x:c>
    </x:row>
    <x:row r="44" ht="35" customHeight="1">
      <x:c r="A44" s="89" t="str">
        <x:v>ME-002</x:v>
      </x:c>
      <x:c r="B44" s="89" t="str">
        <x:v>Current User</x:v>
      </x:c>
      <x:c r="C44" s="89" t="str">
        <x:v>Passed</x:v>
      </x:c>
      <x:c r="D44" s="89" t="n">
        <x:v>1</x:v>
      </x:c>
      <x:c r="E44" s="89" t="str">
        <x:v>POST</x:v>
      </x:c>
      <x:c r="F44" s="89" t="str">
        <x:v>/api/v1/auth/login</x:v>
      </x:c>
      <x:c r="G44" s="90" t="str">
        <x:v>null</x:v>
      </x:c>
      <x:c r="H44" s="90" t="str">
        <x:v>{"email":"alex.chen@grow8.dev","password":"&lt;redacted&gt;"}</x:v>
      </x:c>
      <x:c r="I44" s="90" t="n">
        <x:v>200</x:v>
      </x:c>
      <x:c r="J44" s="90" t="str">
        <x:v>{"access_token":"&lt;redacted&gt;","token_type":"bearer","expires_in":3600,"user":{"user_id":5,"email":"alex.chen@grow8.dev","full_name":"Alex Chen","role":"contributor"}}</x:v>
      </x:c>
      <x:c r="K44" s="89" t="str"/>
    </x:row>
    <x:row r="45" ht="35" customHeight="1">
      <x:c r="A45" s="89" t="str">
        <x:v>ME-002</x:v>
      </x:c>
      <x:c r="B45" s="89" t="str">
        <x:v>Current User</x:v>
      </x:c>
      <x:c r="C45" s="89" t="str">
        <x:v>Passed</x:v>
      </x:c>
      <x:c r="D45" s="89" t="n">
        <x:v>2</x:v>
      </x:c>
      <x:c r="E45" s="89" t="str">
        <x:v>GET</x:v>
      </x:c>
      <x:c r="F45" s="89" t="str">
        <x:v>/api/v1/auth/me</x:v>
      </x:c>
      <x:c r="G45" s="90" t="str">
        <x:v>null</x:v>
      </x:c>
      <x:c r="H45" s="90" t="str">
        <x:v>null</x:v>
      </x:c>
      <x:c r="I45" s="90" t="n">
        <x:v>200</x:v>
      </x:c>
      <x:c r="J45" s="90" t="str">
        <x:v>{"user_id":5,"email":"alex.chen@grow8.dev","full_name":"Alex Chen","role":"contributor"}</x:v>
      </x:c>
      <x:c r="K45" s="89" t="str">
        <x:v>Case duration 701 ms</x:v>
      </x:c>
    </x:row>
    <x:row r="46" ht="35" customHeight="1">
      <x:c r="A46" s="89" t="str">
        <x:v>ME-003</x:v>
      </x:c>
      <x:c r="B46" s="89" t="str">
        <x:v>Current User</x:v>
      </x:c>
      <x:c r="C46" s="89" t="str">
        <x:v>Passed</x:v>
      </x:c>
      <x:c r="D46" s="89" t="n">
        <x:v>1</x:v>
      </x:c>
      <x:c r="E46" s="89" t="str">
        <x:v>POST</x:v>
      </x:c>
      <x:c r="F46" s="89" t="str">
        <x:v>/api/v1/auth/login</x:v>
      </x:c>
      <x:c r="G46" s="90" t="str">
        <x:v>null</x:v>
      </x:c>
      <x:c r="H46" s="90" t="str">
        <x:v>{"email":"admin@grow8.dev","password":"&lt;redacted&gt;"}</x:v>
      </x:c>
      <x:c r="I46" s="90" t="n">
        <x:v>200</x:v>
      </x:c>
      <x:c r="J46" s="90" t="str">
        <x:v>{"access_token":"&lt;redacted&gt;","token_type":"bearer","expires_in":3600,"user":{"user_id":1,"email":"admin@grow8.dev","full_name":"Ada Admin","role":"admin"}}</x:v>
      </x:c>
      <x:c r="K46" s="89" t="str"/>
    </x:row>
    <x:row r="47" ht="35" customHeight="1">
      <x:c r="A47" s="89" t="str">
        <x:v>ME-003</x:v>
      </x:c>
      <x:c r="B47" s="89" t="str">
        <x:v>Current User</x:v>
      </x:c>
      <x:c r="C47" s="89" t="str">
        <x:v>Passed</x:v>
      </x:c>
      <x:c r="D47" s="89" t="n">
        <x:v>2</x:v>
      </x:c>
      <x:c r="E47" s="89" t="str">
        <x:v>GET</x:v>
      </x:c>
      <x:c r="F47" s="89" t="str">
        <x:v>/api/v1/auth/me</x:v>
      </x:c>
      <x:c r="G47" s="90" t="str">
        <x:v>null</x:v>
      </x:c>
      <x:c r="H47" s="90" t="str">
        <x:v>null</x:v>
      </x:c>
      <x:c r="I47" s="90" t="n">
        <x:v>200</x:v>
      </x:c>
      <x:c r="J47" s="90" t="str">
        <x:v>{"user_id":1,"email":"admin@grow8.dev","full_name":"Ada Admin","role":"admin"}</x:v>
      </x:c>
      <x:c r="K47" s="89" t="str">
        <x:v>Case duration 762 ms</x:v>
      </x:c>
    </x:row>
    <x:row r="48" ht="35" customHeight="1">
      <x:c r="A48" s="89" t="str">
        <x:v>ME-004</x:v>
      </x:c>
      <x:c r="B48" s="89" t="str">
        <x:v>Current User</x:v>
      </x:c>
      <x:c r="C48" s="89" t="str">
        <x:v>Passed</x:v>
      </x:c>
      <x:c r="D48" s="89" t="n">
        <x:v>1</x:v>
      </x:c>
      <x:c r="E48" s="89" t="str">
        <x:v>POST</x:v>
      </x:c>
      <x:c r="F48" s="89" t="str">
        <x:v>/api/v1/auth/login</x:v>
      </x:c>
      <x:c r="G48" s="90" t="str">
        <x:v>null</x:v>
      </x:c>
      <x:c r="H48" s="90" t="str">
        <x:v>{"email":"maple.bakery@grow8.dev","password":"&lt;redacted&gt;"}</x:v>
      </x:c>
      <x:c r="I48" s="90" t="n">
        <x:v>200</x:v>
      </x:c>
      <x:c r="J48" s="90" t="str">
        <x:v>{"access_token":"&lt;redacted&gt;","token_type":"bearer","expires_in":3600,"user":{"user_id":2,"email":"maple.bakery@grow8.dev","full_name":"Priya Nair","role":"creator"}}</x:v>
      </x:c>
      <x:c r="K48" s="89" t="str"/>
    </x:row>
    <x:row r="49" ht="35" customHeight="1">
      <x:c r="A49" s="89" t="str">
        <x:v>ME-004</x:v>
      </x:c>
      <x:c r="B49" s="89" t="str">
        <x:v>Current User</x:v>
      </x:c>
      <x:c r="C49" s="89" t="str">
        <x:v>Passed</x:v>
      </x:c>
      <x:c r="D49" s="89" t="n">
        <x:v>2</x:v>
      </x:c>
      <x:c r="E49" s="89" t="str">
        <x:v>GET</x:v>
      </x:c>
      <x:c r="F49" s="89" t="str">
        <x:v>/api/v1/auth/me</x:v>
      </x:c>
      <x:c r="G49" s="90" t="str">
        <x:v>null</x:v>
      </x:c>
      <x:c r="H49" s="90" t="str">
        <x:v>null</x:v>
      </x:c>
      <x:c r="I49" s="90" t="n">
        <x:v>200</x:v>
      </x:c>
      <x:c r="J49" s="90" t="str">
        <x:v>{"user_id":2,"email":"maple.bakery@grow8.dev","full_name":"Priya Nair","role":"creator"}</x:v>
      </x:c>
      <x:c r="K49" s="89" t="str"/>
    </x:row>
    <x:row r="50" ht="35" customHeight="1">
      <x:c r="A50" s="89" t="str">
        <x:v>ME-004</x:v>
      </x:c>
      <x:c r="B50" s="89" t="str">
        <x:v>Current User</x:v>
      </x:c>
      <x:c r="C50" s="89" t="str">
        <x:v>Passed</x:v>
      </x:c>
      <x:c r="D50" s="89" t="n">
        <x:v>3</x:v>
      </x:c>
      <x:c r="E50" s="89" t="str">
        <x:v>POST</x:v>
      </x:c>
      <x:c r="F50" s="89" t="str">
        <x:v>/api/v1/auth/login</x:v>
      </x:c>
      <x:c r="G50" s="90" t="str">
        <x:v>null</x:v>
      </x:c>
      <x:c r="H50" s="90" t="str">
        <x:v>{"email":"maple.bakery@grow8.dev","password":"&lt;redacted&gt;"}</x:v>
      </x:c>
      <x:c r="I50" s="90" t="n">
        <x:v>200</x:v>
      </x:c>
      <x:c r="J50" s="90" t="str">
        <x:v>{"access_token":"&lt;redacted&gt;","token_type":"bearer","expires_in":3600,"user":{"user_id":2,"email":"maple.bakery@grow8.dev","full_name":"Priya Nair","role":"creator"}}</x:v>
      </x:c>
      <x:c r="K50" s="89" t="str">
        <x:v>Case duration 00:00:01</x:v>
      </x:c>
    </x:row>
    <x:row r="51" ht="35" customHeight="1">
      <x:c r="A51" s="89" t="str">
        <x:v>ME-005</x:v>
      </x:c>
      <x:c r="B51" s="89" t="str">
        <x:v>Current User</x:v>
      </x:c>
      <x:c r="C51" s="89" t="str">
        <x:v>Passed</x:v>
      </x:c>
      <x:c r="D51" s="89" t="n">
        <x:v>1</x:v>
      </x:c>
      <x:c r="E51" s="89" t="str">
        <x:v>POST</x:v>
      </x:c>
      <x:c r="F51" s="89" t="str">
        <x:v>/api/v1/auth/login</x:v>
      </x:c>
      <x:c r="G51" s="90" t="str">
        <x:v>null</x:v>
      </x:c>
      <x:c r="H51" s="90" t="str">
        <x:v>{"email":"maple.bakery@grow8.dev","password":"&lt;redacted&gt;"}</x:v>
      </x:c>
      <x:c r="I51" s="90" t="n">
        <x:v>200</x:v>
      </x:c>
      <x:c r="J51" s="90" t="str">
        <x:v>{"access_token":"&lt;redacted&gt;","token_type":"bearer","expires_in":3600,"user":{"user_id":2,"email":"maple.bakery@grow8.dev","full_name":"Priya Nair","role":"creator"}}</x:v>
      </x:c>
      <x:c r="K51" s="89" t="str"/>
    </x:row>
    <x:row r="52" ht="35" customHeight="1">
      <x:c r="A52" s="89" t="str">
        <x:v>ME-005</x:v>
      </x:c>
      <x:c r="B52" s="89" t="str">
        <x:v>Current User</x:v>
      </x:c>
      <x:c r="C52" s="89" t="str">
        <x:v>Passed</x:v>
      </x:c>
      <x:c r="D52" s="89" t="n">
        <x:v>2</x:v>
      </x:c>
      <x:c r="E52" s="89" t="str">
        <x:v>GET</x:v>
      </x:c>
      <x:c r="F52" s="89" t="str">
        <x:v>/api/v1/auth/me</x:v>
      </x:c>
      <x:c r="G52" s="90" t="str">
        <x:v>null</x:v>
      </x:c>
      <x:c r="H52" s="90" t="str">
        <x:v>null</x:v>
      </x:c>
      <x:c r="I52" s="90" t="n">
        <x:v>200</x:v>
      </x:c>
      <x:c r="J52" s="90" t="str">
        <x:v>{"user_id":2,"email":"maple.bakery@grow8.dev","full_name":"Priya Nair","role":"creator"}</x:v>
      </x:c>
      <x:c r="K52" s="89" t="str"/>
    </x:row>
    <x:row r="53" ht="35" customHeight="1">
      <x:c r="A53" s="89" t="str">
        <x:v>ME-005</x:v>
      </x:c>
      <x:c r="B53" s="89" t="str">
        <x:v>Current User</x:v>
      </x:c>
      <x:c r="C53" s="89" t="str">
        <x:v>Passed</x:v>
      </x:c>
      <x:c r="D53" s="89" t="n">
        <x:v>3</x:v>
      </x:c>
      <x:c r="E53" s="89" t="str">
        <x:v>GET</x:v>
      </x:c>
      <x:c r="F53" s="89" t="str">
        <x:v>/api/v1/auth/me</x:v>
      </x:c>
      <x:c r="G53" s="90" t="str">
        <x:v>null</x:v>
      </x:c>
      <x:c r="H53" s="90" t="str">
        <x:v>null</x:v>
      </x:c>
      <x:c r="I53" s="90" t="n">
        <x:v>200</x:v>
      </x:c>
      <x:c r="J53" s="90" t="str">
        <x:v>{"user_id":2,"email":"maple.bakery@grow8.dev","full_name":"Priya Nair","role":"creator"}</x:v>
      </x:c>
      <x:c r="K53" s="89" t="str"/>
    </x:row>
    <x:row r="54" ht="35" customHeight="1">
      <x:c r="A54" s="89" t="str">
        <x:v>ME-005</x:v>
      </x:c>
      <x:c r="B54" s="89" t="str">
        <x:v>Current User</x:v>
      </x:c>
      <x:c r="C54" s="89" t="str">
        <x:v>Passed</x:v>
      </x:c>
      <x:c r="D54" s="89" t="n">
        <x:v>4</x:v>
      </x:c>
      <x:c r="E54" s="89" t="str">
        <x:v>GET</x:v>
      </x:c>
      <x:c r="F54" s="89" t="str">
        <x:v>/api/v1/auth/me</x:v>
      </x:c>
      <x:c r="G54" s="90" t="str">
        <x:v>null</x:v>
      </x:c>
      <x:c r="H54" s="90" t="str">
        <x:v>null</x:v>
      </x:c>
      <x:c r="I54" s="90" t="n">
        <x:v>200</x:v>
      </x:c>
      <x:c r="J54" s="90" t="str">
        <x:v>{"user_id":2,"email":"maple.bakery@grow8.dev","full_name":"Priya Nair","role":"creator"}</x:v>
      </x:c>
      <x:c r="K54" s="89" t="str"/>
    </x:row>
    <x:row r="55" ht="35" customHeight="1">
      <x:c r="A55" s="89" t="str">
        <x:v>ME-005</x:v>
      </x:c>
      <x:c r="B55" s="89" t="str">
        <x:v>Current User</x:v>
      </x:c>
      <x:c r="C55" s="89" t="str">
        <x:v>Passed</x:v>
      </x:c>
      <x:c r="D55" s="89" t="n">
        <x:v>5</x:v>
      </x:c>
      <x:c r="E55" s="89" t="str">
        <x:v>GET</x:v>
      </x:c>
      <x:c r="F55" s="89" t="str">
        <x:v>/api/v1/auth/me</x:v>
      </x:c>
      <x:c r="G55" s="90" t="str">
        <x:v>null</x:v>
      </x:c>
      <x:c r="H55" s="90" t="str">
        <x:v>null</x:v>
      </x:c>
      <x:c r="I55" s="90" t="n">
        <x:v>200</x:v>
      </x:c>
      <x:c r="J55" s="90" t="str">
        <x:v>{"user_id":2,"email":"maple.bakery@grow8.dev","full_name":"Priya Nair","role":"creator"}</x:v>
      </x:c>
      <x:c r="K55" s="89" t="str">
        <x:v>Case duration 656 ms</x:v>
      </x:c>
    </x:row>
    <x:row r="56" ht="35" customHeight="1">
      <x:c r="A56" s="89" t="str">
        <x:v>ME-006</x:v>
      </x:c>
      <x:c r="B56" s="89" t="str">
        <x:v>Current User</x:v>
      </x:c>
      <x:c r="C56" s="89" t="str">
        <x:v>Passed</x:v>
      </x:c>
      <x:c r="D56" s="89" t="n">
        <x:v>1</x:v>
      </x:c>
      <x:c r="E56" s="89" t="str">
        <x:v>POST</x:v>
      </x:c>
      <x:c r="F56" s="89" t="str">
        <x:v>/api/v1/auth/login</x:v>
      </x:c>
      <x:c r="G56" s="90" t="str">
        <x:v>null</x:v>
      </x:c>
      <x:c r="H56" s="90" t="str">
        <x:v>{"email":"maple.bakery@grow8.dev","password":"&lt;redacted&gt;"}</x:v>
      </x:c>
      <x:c r="I56" s="90" t="n">
        <x:v>200</x:v>
      </x:c>
      <x:c r="J56" s="90" t="str">
        <x:v>{"access_token":"&lt;redacted&gt;","token_type":"bearer","expires_in":3600,"user":{"user_id":2,"email":"maple.bakery@grow8.dev","full_name":"Priya Nair","role":"creator"}}</x:v>
      </x:c>
      <x:c r="K56" s="89" t="str"/>
    </x:row>
    <x:row r="57" ht="35" customHeight="1">
      <x:c r="A57" s="89" t="str">
        <x:v>ME-006</x:v>
      </x:c>
      <x:c r="B57" s="89" t="str">
        <x:v>Current User</x:v>
      </x:c>
      <x:c r="C57" s="89" t="str">
        <x:v>Passed</x:v>
      </x:c>
      <x:c r="D57" s="89" t="n">
        <x:v>2</x:v>
      </x:c>
      <x:c r="E57" s="89" t="str">
        <x:v>GET</x:v>
      </x:c>
      <x:c r="F57" s="89" t="str">
        <x:v>/api/v1/auth/me</x:v>
      </x:c>
      <x:c r="G57" s="90" t="str">
        <x:v>null</x:v>
      </x:c>
      <x:c r="H57" s="90" t="str">
        <x:v>null</x:v>
      </x:c>
      <x:c r="I57" s="90" t="n">
        <x:v>200</x:v>
      </x:c>
      <x:c r="J57" s="90" t="str">
        <x:v>{"user_id":2,"email":"maple.bakery@grow8.dev","full_name":"Priya Nair","role":"creator"}</x:v>
      </x:c>
      <x:c r="K57" s="89" t="str"/>
    </x:row>
    <x:row r="58" ht="35" customHeight="1">
      <x:c r="A58" s="89" t="str">
        <x:v>ME-006</x:v>
      </x:c>
      <x:c r="B58" s="89" t="str">
        <x:v>Current User</x:v>
      </x:c>
      <x:c r="C58" s="89" t="str">
        <x:v>Passed</x:v>
      </x:c>
      <x:c r="D58" s="89" t="n">
        <x:v>3</x:v>
      </x:c>
      <x:c r="E58" s="89" t="str">
        <x:v>POST</x:v>
      </x:c>
      <x:c r="F58" s="89" t="str">
        <x:v>/api/v1/auth/login</x:v>
      </x:c>
      <x:c r="G58" s="90" t="str">
        <x:v>null</x:v>
      </x:c>
      <x:c r="H58" s="90" t="str">
        <x:v>{"email":"alex.chen@grow8.dev","password":"&lt;redacted&gt;"}</x:v>
      </x:c>
      <x:c r="I58" s="90" t="n">
        <x:v>200</x:v>
      </x:c>
      <x:c r="J58" s="90" t="str">
        <x:v>{"access_token":"&lt;redacted&gt;","token_type":"bearer","expires_in":3600,"user":{"user_id":5,"email":"alex.chen@grow8.dev","full_name":"Alex Chen","role":"contributor"}}</x:v>
      </x:c>
      <x:c r="K58" s="89" t="str"/>
    </x:row>
    <x:row r="59" ht="35" customHeight="1">
      <x:c r="A59" s="89" t="str">
        <x:v>ME-006</x:v>
      </x:c>
      <x:c r="B59" s="89" t="str">
        <x:v>Current User</x:v>
      </x:c>
      <x:c r="C59" s="89" t="str">
        <x:v>Passed</x:v>
      </x:c>
      <x:c r="D59" s="89" t="n">
        <x:v>4</x:v>
      </x:c>
      <x:c r="E59" s="89" t="str">
        <x:v>GET</x:v>
      </x:c>
      <x:c r="F59" s="89" t="str">
        <x:v>/api/v1/auth/me</x:v>
      </x:c>
      <x:c r="G59" s="90" t="str">
        <x:v>null</x:v>
      </x:c>
      <x:c r="H59" s="90" t="str">
        <x:v>null</x:v>
      </x:c>
      <x:c r="I59" s="90" t="n">
        <x:v>200</x:v>
      </x:c>
      <x:c r="J59" s="90" t="str">
        <x:v>{"user_id":5,"email":"alex.chen@grow8.dev","full_name":"Alex Chen","role":"contributor"}</x:v>
      </x:c>
      <x:c r="K59" s="89" t="str">
        <x:v>Case duration 00:00:01</x:v>
      </x:c>
    </x:row>
    <x:row r="60" ht="35" customHeight="1">
      <x:c r="A60" s="89" t="str">
        <x:v>ME-007</x:v>
      </x:c>
      <x:c r="B60" s="89" t="str">
        <x:v>Current User</x:v>
      </x:c>
      <x:c r="C60" s="89" t="str">
        <x:v>Passed</x:v>
      </x:c>
      <x:c r="D60" s="89" t="n">
        <x:v>1</x:v>
      </x:c>
      <x:c r="E60" s="89" t="str">
        <x:v>GET</x:v>
      </x:c>
      <x:c r="F60" s="89" t="str">
        <x:v>/api/v1/auth/me</x:v>
      </x:c>
      <x:c r="G60" s="90" t="str">
        <x:v>null</x:v>
      </x:c>
      <x:c r="H60" s="90" t="str">
        <x:v>null</x:v>
      </x:c>
      <x:c r="I60" s="90" t="n">
        <x:v>401</x:v>
      </x:c>
      <x:c r="J60" s="90" t="str">
        <x:v>{"error":{"code":"AUTH_REQUIRED","message":"Authentication required"}}</x:v>
      </x:c>
      <x:c r="K60" s="89" t="str">
        <x:v>Case duration 251 ms</x:v>
      </x:c>
    </x:row>
    <x:row r="61" ht="35" customHeight="1">
      <x:c r="A61" s="89" t="str">
        <x:v>ME-008</x:v>
      </x:c>
      <x:c r="B61" s="89" t="str">
        <x:v>Current User</x:v>
      </x:c>
      <x:c r="C61" s="89" t="str">
        <x:v>Passed</x:v>
      </x:c>
      <x:c r="D61" s="89" t="n">
        <x:v>1</x:v>
      </x:c>
      <x:c r="E61" s="89" t="str">
        <x:v>GET</x:v>
      </x:c>
      <x:c r="F61" s="89" t="str">
        <x:v>/api/v1/auth/me</x:v>
      </x:c>
      <x:c r="G61" s="90" t="str">
        <x:v>null</x:v>
      </x:c>
      <x:c r="H61" s="90" t="str">
        <x:v>null</x:v>
      </x:c>
      <x:c r="I61" s="90" t="n">
        <x:v>401</x:v>
      </x:c>
      <x:c r="J61" s="90" t="str">
        <x:v>{"error":{"code":"AUTH_REQUIRED","message":"Authentication required"}}</x:v>
      </x:c>
      <x:c r="K61" s="89" t="str">
        <x:v>Case duration 137 ms</x:v>
      </x:c>
    </x:row>
    <x:row r="62" ht="35" customHeight="1">
      <x:c r="A62" s="89" t="str">
        <x:v>ME-009</x:v>
      </x:c>
      <x:c r="B62" s="89" t="str">
        <x:v>Current User</x:v>
      </x:c>
      <x:c r="C62" s="89" t="str">
        <x:v>Passed</x:v>
      </x:c>
      <x:c r="D62" s="89" t="n">
        <x:v>1</x:v>
      </x:c>
      <x:c r="E62" s="89" t="str">
        <x:v>GET</x:v>
      </x:c>
      <x:c r="F62" s="89" t="str">
        <x:v>/api/v1/auth/me</x:v>
      </x:c>
      <x:c r="G62" s="90" t="str">
        <x:v>null</x:v>
      </x:c>
      <x:c r="H62" s="90" t="str">
        <x:v>null</x:v>
      </x:c>
      <x:c r="I62" s="90" t="n">
        <x:v>401</x:v>
      </x:c>
      <x:c r="J62" s="90" t="str">
        <x:v>{"error":{"code":"AUTH_REQUIRED","message":"Authentication required"}}</x:v>
      </x:c>
      <x:c r="K62" s="89" t="str">
        <x:v>Case duration 139 ms</x:v>
      </x:c>
    </x:row>
    <x:row r="63" ht="35" customHeight="1">
      <x:c r="A63" s="89" t="str">
        <x:v>ME-010</x:v>
      </x:c>
      <x:c r="B63" s="89" t="str">
        <x:v>Current User</x:v>
      </x:c>
      <x:c r="C63" s="89" t="str">
        <x:v>Passed</x:v>
      </x:c>
      <x:c r="D63" s="89" t="n">
        <x:v>1</x:v>
      </x:c>
      <x:c r="E63" s="89" t="str">
        <x:v>GET</x:v>
      </x:c>
      <x:c r="F63" s="89" t="str">
        <x:v>/api/v1/auth/me</x:v>
      </x:c>
      <x:c r="G63" s="90" t="str">
        <x:v>null</x:v>
      </x:c>
      <x:c r="H63" s="90" t="str">
        <x:v>null</x:v>
      </x:c>
      <x:c r="I63" s="90" t="n">
        <x:v>401</x:v>
      </x:c>
      <x:c r="J63" s="90" t="str">
        <x:v>{"error":{"code":"AUTH_REQUIRED","message":"Authentication required"}}</x:v>
      </x:c>
      <x:c r="K63" s="89" t="str">
        <x:v>Case duration 148 ms</x:v>
      </x:c>
    </x:row>
    <x:row r="64" ht="35" customHeight="1">
      <x:c r="A64" s="89" t="str">
        <x:v>ME-011</x:v>
      </x:c>
      <x:c r="B64" s="89" t="str">
        <x:v>Current User</x:v>
      </x:c>
      <x:c r="C64" s="89" t="str">
        <x:v>Passed</x:v>
      </x:c>
      <x:c r="D64" s="89" t="n">
        <x:v>1</x:v>
      </x:c>
      <x:c r="E64" s="89" t="str">
        <x:v>GET</x:v>
      </x:c>
      <x:c r="F64" s="89" t="str">
        <x:v>/api/v1/auth/me</x:v>
      </x:c>
      <x:c r="G64" s="90" t="str">
        <x:v>null</x:v>
      </x:c>
      <x:c r="H64" s="90" t="str">
        <x:v>null</x:v>
      </x:c>
      <x:c r="I64" s="90" t="n">
        <x:v>401</x:v>
      </x:c>
      <x:c r="J64" s="90" t="str">
        <x:v>{"error":{"code":"INVALID_TOKEN","message":"Invalid or expired token"}}</x:v>
      </x:c>
      <x:c r="K64" s="89" t="str">
        <x:v>Case duration 155 ms</x:v>
      </x:c>
    </x:row>
    <x:row r="65" ht="35" customHeight="1">
      <x:c r="A65" s="89" t="str">
        <x:v>ME-012</x:v>
      </x:c>
      <x:c r="B65" s="89" t="str">
        <x:v>Current User</x:v>
      </x:c>
      <x:c r="C65" s="89" t="str">
        <x:v>Passed</x:v>
      </x:c>
      <x:c r="D65" s="89" t="n">
        <x:v>1</x:v>
      </x:c>
      <x:c r="E65" s="89" t="str">
        <x:v>GET</x:v>
      </x:c>
      <x:c r="F65" s="89" t="str">
        <x:v>/api/v1/auth/me</x:v>
      </x:c>
      <x:c r="G65" s="90" t="str">
        <x:v>null</x:v>
      </x:c>
      <x:c r="H65" s="90" t="str">
        <x:v>null</x:v>
      </x:c>
      <x:c r="I65" s="90" t="n">
        <x:v>401</x:v>
      </x:c>
      <x:c r="J65" s="90" t="str">
        <x:v>{"error":{"code":"INVALID_TOKEN","message":"Invalid or expired token"}}</x:v>
      </x:c>
      <x:c r="K65" s="89" t="str">
        <x:v>Case duration 139 ms</x:v>
      </x:c>
    </x:row>
    <x:row r="66" ht="35" customHeight="1">
      <x:c r="A66" s="89" t="str">
        <x:v>ME-013</x:v>
      </x:c>
      <x:c r="B66" s="89" t="str">
        <x:v>Current User</x:v>
      </x:c>
      <x:c r="C66" s="89" t="str">
        <x:v>Passed</x:v>
      </x:c>
      <x:c r="D66" s="89" t="n">
        <x:v>1</x:v>
      </x:c>
      <x:c r="E66" s="89" t="str">
        <x:v>GET</x:v>
      </x:c>
      <x:c r="F66" s="89" t="str">
        <x:v>/api/v1/auth/me</x:v>
      </x:c>
      <x:c r="G66" s="90" t="str">
        <x:v>null</x:v>
      </x:c>
      <x:c r="H66" s="90" t="str">
        <x:v>null</x:v>
      </x:c>
      <x:c r="I66" s="90" t="n">
        <x:v>401</x:v>
      </x:c>
      <x:c r="J66" s="90" t="str">
        <x:v>{"error":{"code":"INVALID_TOKEN","message":"Invalid or expired token"}}</x:v>
      </x:c>
      <x:c r="K66" s="89" t="str">
        <x:v>Case duration 140 ms</x:v>
      </x:c>
    </x:row>
    <x:row r="67" ht="35" customHeight="1">
      <x:c r="A67" s="89" t="str">
        <x:v>ME-014</x:v>
      </x:c>
      <x:c r="B67" s="89" t="str">
        <x:v>Current User</x:v>
      </x:c>
      <x:c r="C67" s="89" t="str">
        <x:v>Passed</x:v>
      </x:c>
      <x:c r="D67" s="89" t="n">
        <x:v>1</x:v>
      </x:c>
      <x:c r="E67" s="89" t="str">
        <x:v>GET</x:v>
      </x:c>
      <x:c r="F67" s="89" t="str">
        <x:v>/api/v1/auth/me</x:v>
      </x:c>
      <x:c r="G67" s="90" t="str">
        <x:v>null</x:v>
      </x:c>
      <x:c r="H67" s="90" t="str">
        <x:v>null</x:v>
      </x:c>
      <x:c r="I67" s="90" t="n">
        <x:v>401</x:v>
      </x:c>
      <x:c r="J67" s="90" t="str">
        <x:v>{"error":{"code":"INVALID_TOKEN","message":"Invalid or expired token"}}</x:v>
      </x:c>
      <x:c r="K67" s="89" t="str">
        <x:v>Case duration 157 ms</x:v>
      </x:c>
    </x:row>
    <x:row r="68" ht="35" customHeight="1">
      <x:c r="A68" s="89" t="str">
        <x:v>ME-015</x:v>
      </x:c>
      <x:c r="B68" s="89" t="str">
        <x:v>Current User</x:v>
      </x:c>
      <x:c r="C68" s="89" t="str">
        <x:v>Passed</x:v>
      </x:c>
      <x:c r="D68" s="89" t="n">
        <x:v>1</x:v>
      </x:c>
      <x:c r="E68" s="89" t="str">
        <x:v>GET</x:v>
      </x:c>
      <x:c r="F68" s="89" t="str">
        <x:v>/api/v1/auth/me</x:v>
      </x:c>
      <x:c r="G68" s="90" t="str">
        <x:v>null</x:v>
      </x:c>
      <x:c r="H68" s="90" t="str">
        <x:v>null</x:v>
      </x:c>
      <x:c r="I68" s="90" t="n">
        <x:v>401</x:v>
      </x:c>
      <x:c r="J68" s="90" t="str">
        <x:v>{"error":{"code":"INVALID_TOKEN","message":"Invalid or expired token"}}</x:v>
      </x:c>
      <x:c r="K68" s="89" t="str">
        <x:v>Case duration 144 ms</x:v>
      </x:c>
    </x:row>
    <x:row r="69" ht="35" customHeight="1">
      <x:c r="A69" s="89" t="str">
        <x:v>ME-016</x:v>
      </x:c>
      <x:c r="B69" s="89" t="str">
        <x:v>Current User</x:v>
      </x:c>
      <x:c r="C69" s="89" t="str">
        <x:v>Passed</x:v>
      </x:c>
      <x:c r="D69" s="89" t="n">
        <x:v>1</x:v>
      </x:c>
      <x:c r="E69" s="89" t="str">
        <x:v>GET</x:v>
      </x:c>
      <x:c r="F69" s="89" t="str">
        <x:v>/api/v1/auth/me</x:v>
      </x:c>
      <x:c r="G69" s="90" t="str">
        <x:v>null</x:v>
      </x:c>
      <x:c r="H69" s="90" t="str">
        <x:v>null</x:v>
      </x:c>
      <x:c r="I69" s="90" t="n">
        <x:v>401</x:v>
      </x:c>
      <x:c r="J69" s="90" t="str">
        <x:v>{"error":{"code":"INVALID_TOKEN","message":"Invalid or expired token"}}</x:v>
      </x:c>
      <x:c r="K69" s="89" t="str">
        <x:v>Case duration 146 ms</x:v>
      </x:c>
    </x:row>
    <x:row r="70" ht="35" customHeight="1">
      <x:c r="A70" s="89" t="str">
        <x:v>ME-017</x:v>
      </x:c>
      <x:c r="B70" s="89" t="str">
        <x:v>Current User</x:v>
      </x:c>
      <x:c r="C70" s="89" t="str">
        <x:v>Passed</x:v>
      </x:c>
      <x:c r="D70" s="89" t="n">
        <x:v>1</x:v>
      </x:c>
      <x:c r="E70" s="89" t="str">
        <x:v>GET</x:v>
      </x:c>
      <x:c r="F70" s="89" t="str">
        <x:v>/api/v1/auth/me</x:v>
      </x:c>
      <x:c r="G70" s="90" t="str">
        <x:v>null</x:v>
      </x:c>
      <x:c r="H70" s="90" t="str">
        <x:v>null</x:v>
      </x:c>
      <x:c r="I70" s="90" t="n">
        <x:v>401</x:v>
      </x:c>
      <x:c r="J70" s="90" t="str">
        <x:v>{"error":{"code":"INVALID_TOKEN","message":"Invalid or expired token"}}</x:v>
      </x:c>
      <x:c r="K70" s="89" t="str">
        <x:v>Case duration 146 ms</x:v>
      </x:c>
    </x:row>
    <x:row r="71" ht="35" customHeight="1">
      <x:c r="A71" s="89" t="str">
        <x:v>ME-018</x:v>
      </x:c>
      <x:c r="B71" s="89" t="str">
        <x:v>Current User</x:v>
      </x:c>
      <x:c r="C71" s="89" t="str">
        <x:v>Passed</x:v>
      </x:c>
      <x:c r="D71" s="89" t="n">
        <x:v>1</x:v>
      </x:c>
      <x:c r="E71" s="89" t="str">
        <x:v>GET</x:v>
      </x:c>
      <x:c r="F71" s="89" t="str">
        <x:v>/api/v1/auth/me</x:v>
      </x:c>
      <x:c r="G71" s="90" t="str">
        <x:v>null</x:v>
      </x:c>
      <x:c r="H71" s="90" t="str">
        <x:v>null</x:v>
      </x:c>
      <x:c r="I71" s="90" t="n">
        <x:v>401</x:v>
      </x:c>
      <x:c r="J71" s="90" t="str">
        <x:v>{"error":{"code":"INVALID_TOKEN","message":"Invalid or expired token"}}</x:v>
      </x:c>
      <x:c r="K71" s="89" t="str">
        <x:v>Case duration 168 ms</x:v>
      </x:c>
    </x:row>
    <x:row r="72" ht="35" customHeight="1">
      <x:c r="A72" s="89" t="str">
        <x:v>ME-019</x:v>
      </x:c>
      <x:c r="B72" s="89" t="str">
        <x:v>Current User</x:v>
      </x:c>
      <x:c r="C72" s="89" t="str">
        <x:v>Passed</x:v>
      </x:c>
      <x:c r="D72" s="89" t="n">
        <x:v>1</x:v>
      </x:c>
      <x:c r="E72" s="89" t="str">
        <x:v>GET</x:v>
      </x:c>
      <x:c r="F72" s="89" t="str">
        <x:v>/api/v1/auth/me</x:v>
      </x:c>
      <x:c r="G72" s="90" t="str">
        <x:v>null</x:v>
      </x:c>
      <x:c r="H72" s="90" t="str">
        <x:v>null</x:v>
      </x:c>
      <x:c r="I72" s="90" t="n">
        <x:v>401</x:v>
      </x:c>
      <x:c r="J72" s="90" t="str">
        <x:v>{"error":{"code":"INVALID_TOKEN","message":"Invalid or expired token"}}</x:v>
      </x:c>
      <x:c r="K72" s="89" t="str">
        <x:v>Case duration 138 ms</x:v>
      </x:c>
    </x:row>
    <x:row r="73" ht="35" customHeight="1">
      <x:c r="A73" s="89" t="str">
        <x:v>ME-020</x:v>
      </x:c>
      <x:c r="B73" s="89" t="str">
        <x:v>Current User</x:v>
      </x:c>
      <x:c r="C73" s="89" t="str">
        <x:v>Passed</x:v>
      </x:c>
      <x:c r="D73" s="89" t="n">
        <x:v>1</x:v>
      </x:c>
      <x:c r="E73" s="89" t="str">
        <x:v>GET</x:v>
      </x:c>
      <x:c r="F73" s="89" t="str">
        <x:v>/api/v1/auth/me</x:v>
      </x:c>
      <x:c r="G73" s="90" t="str">
        <x:v>null</x:v>
      </x:c>
      <x:c r="H73" s="90" t="str">
        <x:v>null</x:v>
      </x:c>
      <x:c r="I73" s="90" t="n">
        <x:v>401</x:v>
      </x:c>
      <x:c r="J73" s="90" t="str">
        <x:v>{"error":{"code":"INVALID_TOKEN","message":"Invalid or expired token"}}</x:v>
      </x:c>
      <x:c r="K73" s="89" t="str">
        <x:v>Case duration 158 ms</x:v>
      </x:c>
    </x:row>
    <x:row r="74" ht="35" customHeight="1">
      <x:c r="A74" s="89" t="str">
        <x:v>ME-021</x:v>
      </x:c>
      <x:c r="B74" s="89" t="str">
        <x:v>Current User</x:v>
      </x:c>
      <x:c r="C74" s="89" t="str">
        <x:v>Passed</x:v>
      </x:c>
      <x:c r="D74" s="89" t="n">
        <x:v>1</x:v>
      </x:c>
      <x:c r="E74" s="89" t="str">
        <x:v>POST</x:v>
      </x:c>
      <x:c r="F74" s="89" t="str">
        <x:v>/api/v1/auth/login</x:v>
      </x:c>
      <x:c r="G74" s="90" t="str">
        <x:v>null</x:v>
      </x:c>
      <x:c r="H74" s="90" t="str">
        <x:v>{"email":"maple.bakery@grow8.dev","password":"&lt;redacted&gt;"}</x:v>
      </x:c>
      <x:c r="I74" s="90" t="n">
        <x:v>200</x:v>
      </x:c>
      <x:c r="J74" s="90" t="str">
        <x:v>{"access_token":"&lt;redacted&gt;","token_type":"bearer","expires_in":3600,"user":{"user_id":2,"email":"maple.bakery@grow8.dev","full_name":"Priya Nair","role":"creator"}}</x:v>
      </x:c>
      <x:c r="K74" s="89" t="str"/>
    </x:row>
    <x:row r="75" ht="35" customHeight="1">
      <x:c r="A75" s="89" t="str">
        <x:v>ME-021</x:v>
      </x:c>
      <x:c r="B75" s="89" t="str">
        <x:v>Current User</x:v>
      </x:c>
      <x:c r="C75" s="89" t="str">
        <x:v>Passed</x:v>
      </x:c>
      <x:c r="D75" s="89" t="n">
        <x:v>2</x:v>
      </x:c>
      <x:c r="E75" s="89" t="str">
        <x:v>GET</x:v>
      </x:c>
      <x:c r="F75" s="89" t="str">
        <x:v>/api/v1/auth/me</x:v>
      </x:c>
      <x:c r="G75" s="90" t="str">
        <x:v>null</x:v>
      </x:c>
      <x:c r="H75" s="90" t="str">
        <x:v>null</x:v>
      </x:c>
      <x:c r="I75" s="90" t="n">
        <x:v>401</x:v>
      </x:c>
      <x:c r="J75" s="90" t="str">
        <x:v>{"error":{"code":"INVALID_TOKEN","message":"Invalid or expired token"}}</x:v>
      </x:c>
      <x:c r="K75" s="89" t="str">
        <x:v>Case duration 602 ms</x:v>
      </x:c>
    </x:row>
    <x:row r="76" ht="35" customHeight="1">
      <x:c r="A76" s="89" t="str">
        <x:v>ME-022</x:v>
      </x:c>
      <x:c r="B76" s="89" t="str">
        <x:v>Current User</x:v>
      </x:c>
      <x:c r="C76" s="89" t="str">
        <x:v>Passed</x:v>
      </x:c>
      <x:c r="D76" s="89" t="n">
        <x:v>1</x:v>
      </x:c>
      <x:c r="E76" s="89" t="str">
        <x:v>POST</x:v>
      </x:c>
      <x:c r="F76" s="89" t="str">
        <x:v>/api/v1/auth/login</x:v>
      </x:c>
      <x:c r="G76" s="90" t="str">
        <x:v>null</x:v>
      </x:c>
      <x:c r="H76" s="90" t="str">
        <x:v>{"email":"maple.bakery@grow8.dev","password":"&lt;redacted&gt;"}</x:v>
      </x:c>
      <x:c r="I76" s="90" t="n">
        <x:v>200</x:v>
      </x:c>
      <x:c r="J76" s="90" t="str">
        <x:v>{"access_token":"&lt;redacted&gt;","token_type":"bearer","expires_in":3600,"user":{"user_id":2,"email":"maple.bakery@grow8.dev","full_name":"Priya Nair","role":"creator"}}</x:v>
      </x:c>
      <x:c r="K76" s="89" t="str"/>
    </x:row>
    <x:row r="77" ht="35" customHeight="1">
      <x:c r="A77" s="89" t="str">
        <x:v>ME-022</x:v>
      </x:c>
      <x:c r="B77" s="89" t="str">
        <x:v>Current User</x:v>
      </x:c>
      <x:c r="C77" s="89" t="str">
        <x:v>Passed</x:v>
      </x:c>
      <x:c r="D77" s="89" t="n">
        <x:v>2</x:v>
      </x:c>
      <x:c r="E77" s="89" t="str">
        <x:v>GET</x:v>
      </x:c>
      <x:c r="F77" s="89" t="str">
        <x:v>/api/v1/auth/me</x:v>
      </x:c>
      <x:c r="G77" s="90" t="str">
        <x:v>null</x:v>
      </x:c>
      <x:c r="H77" s="90" t="str">
        <x:v>null</x:v>
      </x:c>
      <x:c r="I77" s="90" t="n">
        <x:v>200</x:v>
      </x:c>
      <x:c r="J77" s="90" t="str">
        <x:v>{"user_id":2,"email":"maple.bakery@grow8.dev","full_name":"QA Updated Name","role":"creator"}</x:v>
      </x:c>
      <x:c r="K77" s="89" t="str">
        <x:v>Case duration 640 ms</x:v>
      </x:c>
    </x:row>
    <x:row r="78" ht="35" customHeight="1">
      <x:c r="A78" s="89" t="str">
        <x:v>ME-023</x:v>
      </x:c>
      <x:c r="B78" s="89" t="str">
        <x:v>Current User</x:v>
      </x:c>
      <x:c r="C78" s="89" t="str">
        <x:v>Passed</x:v>
      </x:c>
      <x:c r="D78" s="89" t="n">
        <x:v>1</x:v>
      </x:c>
      <x:c r="E78" s="89" t="str">
        <x:v>GET</x:v>
      </x:c>
      <x:c r="F78" s="89" t="str">
        <x:v>/api/v1/auth/me</x:v>
      </x:c>
      <x:c r="G78" s="90" t="str">
        <x:v>null</x:v>
      </x:c>
      <x:c r="H78" s="90" t="str">
        <x:v>null</x:v>
      </x:c>
      <x:c r="I78" s="90" t="n">
        <x:v>200</x:v>
      </x:c>
      <x:c r="J78" s="90" t="str">
        <x:v>{"user_id":2,"email":"maple.bakery@grow8.dev","full_name":"Priya Nair","role":"creator"}</x:v>
      </x:c>
      <x:c r="K78" s="89" t="str">
        <x:v>Case duration 162 ms</x:v>
      </x:c>
    </x:row>
    <x:row r="79" ht="35" customHeight="1">
      <x:c r="A79" s="89" t="str">
        <x:v>ME-024</x:v>
      </x:c>
      <x:c r="B79" s="89" t="str">
        <x:v>Current User</x:v>
      </x:c>
      <x:c r="C79" s="89" t="str">
        <x:v>Passed</x:v>
      </x:c>
      <x:c r="D79" s="89" t="n">
        <x:v>1</x:v>
      </x:c>
      <x:c r="E79" s="89" t="str">
        <x:v>POST</x:v>
      </x:c>
      <x:c r="F79" s="89" t="str">
        <x:v>/api/v1/auth/login</x:v>
      </x:c>
      <x:c r="G79" s="90" t="str">
        <x:v>null</x:v>
      </x:c>
      <x:c r="H79" s="90" t="str">
        <x:v>{"email":"maple.bakery@grow8.dev","password":"&lt;redacted&gt;"}</x:v>
      </x:c>
      <x:c r="I79" s="90" t="n">
        <x:v>200</x:v>
      </x:c>
      <x:c r="J79" s="90" t="str">
        <x:v>{"access_token":"&lt;redacted&gt;","token_type":"bearer","expires_in":3600,"user":{"user_id":2,"email":"maple.bakery@grow8.dev","full_name":"Priya Nair","role":"creator"}}</x:v>
      </x:c>
      <x:c r="K79" s="89" t="str"/>
    </x:row>
    <x:row r="80" ht="35" customHeight="1">
      <x:c r="A80" s="89" t="str">
        <x:v>ME-024</x:v>
      </x:c>
      <x:c r="B80" s="89" t="str">
        <x:v>Current User</x:v>
      </x:c>
      <x:c r="C80" s="89" t="str">
        <x:v>Passed</x:v>
      </x:c>
      <x:c r="D80" s="89" t="n">
        <x:v>2</x:v>
      </x:c>
      <x:c r="E80" s="89" t="str">
        <x:v>GET</x:v>
      </x:c>
      <x:c r="F80" s="89" t="str">
        <x:v>/api/v1/auth/me</x:v>
      </x:c>
      <x:c r="G80" s="90" t="str">
        <x:v>null</x:v>
      </x:c>
      <x:c r="H80" s="90" t="str">
        <x:v>null</x:v>
      </x:c>
      <x:c r="I80" s="90" t="n">
        <x:v>200</x:v>
      </x:c>
      <x:c r="J80" s="90" t="str">
        <x:v>{"user_id":2,"email":"maple.bakery@grow8.dev","full_name":"Priya Nair","role":"creator"}</x:v>
      </x:c>
      <x:c r="K80" s="89" t="str">
        <x:v>Case duration 550 ms</x:v>
      </x:c>
    </x:row>
    <x:row r="81" ht="35" customHeight="1">
      <x:c r="A81" s="89" t="str">
        <x:v>CAT-001</x:v>
      </x:c>
      <x:c r="B81" s="89" t="str">
        <x:v>Categories</x:v>
      </x:c>
      <x:c r="C81" s="89" t="str">
        <x:v>Passed</x:v>
      </x:c>
      <x:c r="D81" s="89" t="n">
        <x:v>1</x:v>
      </x:c>
      <x:c r="E81" s="89" t="str">
        <x:v>GET</x:v>
      </x:c>
      <x:c r="F81" s="89" t="str">
        <x:v>/api/v1/categories</x:v>
      </x:c>
      <x:c r="G81" s="90" t="str">
        <x:v>null</x:v>
      </x:c>
      <x:c r="H81" s="90" t="str">
        <x:v>null</x:v>
      </x:c>
      <x:c r="I81" s="90" t="n">
        <x:v>200</x:v>
      </x:c>
      <x:c r="J81" s="90" t="str">
        <x:v>[{"code":"community","name":"Community","description":"Physical tasks, community activities and event-based support."},{"code":"knowledge","name":"Knowledge-based","description":"Digital support, data organization, record digitization and similar tasks."}]</x:v>
      </x:c>
      <x:c r="K81" s="89" t="str">
        <x:v>Case duration 167 ms</x:v>
      </x:c>
    </x:row>
    <x:row r="82" ht="35" customHeight="1">
      <x:c r="A82" s="89" t="str">
        <x:v>CAT-002</x:v>
      </x:c>
      <x:c r="B82" s="89" t="str">
        <x:v>Categories</x:v>
      </x:c>
      <x:c r="C82" s="89" t="str">
        <x:v>Passed</x:v>
      </x:c>
      <x:c r="D82" s="89" t="n">
        <x:v>1</x:v>
      </x:c>
      <x:c r="E82" s="89" t="str">
        <x:v>GET</x:v>
      </x:c>
      <x:c r="F82" s="89" t="str">
        <x:v>/api/v1/categories</x:v>
      </x:c>
      <x:c r="G82" s="90" t="str">
        <x:v>null</x:v>
      </x:c>
      <x:c r="H82" s="90" t="str">
        <x:v>null</x:v>
      </x:c>
      <x:c r="I82" s="90" t="n">
        <x:v>200</x:v>
      </x:c>
      <x:c r="J82" s="90" t="str">
        <x:v>[{"code":"community","name":"Community","description":"Physical tasks, community activities and event-based support."},{"code":"knowledge","name":"Knowledge-based","description":"Digital support, data organization, record digitization and similar tasks."}]</x:v>
      </x:c>
      <x:c r="K82" s="89" t="str">
        <x:v>Case duration 141 ms</x:v>
      </x:c>
    </x:row>
    <x:row r="83" ht="35" customHeight="1">
      <x:c r="A83" s="89" t="str">
        <x:v>CAT-003</x:v>
      </x:c>
      <x:c r="B83" s="89" t="str">
        <x:v>Categories</x:v>
      </x:c>
      <x:c r="C83" s="89" t="str">
        <x:v>Passed</x:v>
      </x:c>
      <x:c r="D83" s="89" t="n">
        <x:v>1</x:v>
      </x:c>
      <x:c r="E83" s="89" t="str">
        <x:v>GET</x:v>
      </x:c>
      <x:c r="F83" s="89" t="str">
        <x:v>/api/v1/categories</x:v>
      </x:c>
      <x:c r="G83" s="90" t="str">
        <x:v>null</x:v>
      </x:c>
      <x:c r="H83" s="90" t="str">
        <x:v>null</x:v>
      </x:c>
      <x:c r="I83" s="90" t="n">
        <x:v>200</x:v>
      </x:c>
      <x:c r="J83" s="90" t="str">
        <x:v>[{"code":"community","name":"Community","description":"Physical tasks, community activities and event-based support."},{"code":"knowledge","name":"Knowledge-based","description":"Digital support, data organization, record digitization and similar tasks."}]</x:v>
      </x:c>
      <x:c r="K83" s="89" t="str"/>
    </x:row>
    <x:row r="84" ht="35" customHeight="1">
      <x:c r="A84" s="89" t="str">
        <x:v>CAT-003</x:v>
      </x:c>
      <x:c r="B84" s="89" t="str">
        <x:v>Categories</x:v>
      </x:c>
      <x:c r="C84" s="89" t="str">
        <x:v>Passed</x:v>
      </x:c>
      <x:c r="D84" s="89" t="n">
        <x:v>2</x:v>
      </x:c>
      <x:c r="E84" s="89" t="str">
        <x:v>POST</x:v>
      </x:c>
      <x:c r="F84" s="89" t="str">
        <x:v>/api/v1/auth/login</x:v>
      </x:c>
      <x:c r="G84" s="90" t="str">
        <x:v>null</x:v>
      </x:c>
      <x:c r="H84" s="90" t="str">
        <x:v>{"email":"maple.bakery@grow8.dev","password":"&lt;redacted&gt;"}</x:v>
      </x:c>
      <x:c r="I84" s="90" t="n">
        <x:v>200</x:v>
      </x:c>
      <x:c r="J84" s="90" t="str">
        <x:v>{"access_token":"&lt;redacted&gt;","token_type":"bearer","expires_in":3600,"user":{"user_id":2,"email":"maple.bakery@grow8.dev","full_name":"Priya Nair","role":"creator"}}</x:v>
      </x:c>
      <x:c r="K84" s="89" t="str"/>
    </x:row>
    <x:row r="85" ht="35" customHeight="1">
      <x:c r="A85" s="89" t="str">
        <x:v>CAT-003</x:v>
      </x:c>
      <x:c r="B85" s="89" t="str">
        <x:v>Categories</x:v>
      </x:c>
      <x:c r="C85" s="89" t="str">
        <x:v>Passed</x:v>
      </x:c>
      <x:c r="D85" s="89" t="n">
        <x:v>3</x:v>
      </x:c>
      <x:c r="E85" s="89" t="str">
        <x:v>GET</x:v>
      </x:c>
      <x:c r="F85" s="89" t="str">
        <x:v>/api/v1/categories</x:v>
      </x:c>
      <x:c r="G85" s="90" t="str">
        <x:v>null</x:v>
      </x:c>
      <x:c r="H85" s="90" t="str">
        <x:v>null</x:v>
      </x:c>
      <x:c r="I85" s="90" t="n">
        <x:v>200</x:v>
      </x:c>
      <x:c r="J85" s="90" t="str">
        <x:v>[{"code":"community","name":"Community","description":"Physical tasks, community activities and event-based support."},{"code":"knowledge","name":"Knowledge-based","description":"Digital support, data organization, record digitization and similar tasks."}]</x:v>
      </x:c>
      <x:c r="K85" s="89" t="str">
        <x:v>Case duration 630 ms</x:v>
      </x:c>
    </x:row>
    <x:row r="86" ht="35" customHeight="1">
      <x:c r="A86" s="89" t="str">
        <x:v>CAT-004</x:v>
      </x:c>
      <x:c r="B86" s="89" t="str">
        <x:v>Categories</x:v>
      </x:c>
      <x:c r="C86" s="89" t="str">
        <x:v>Passed</x:v>
      </x:c>
      <x:c r="D86" s="89" t="n">
        <x:v>1</x:v>
      </x:c>
      <x:c r="E86" s="89" t="str">
        <x:v>GET</x:v>
      </x:c>
      <x:c r="F86" s="89" t="str">
        <x:v>/api/v1/categories</x:v>
      </x:c>
      <x:c r="G86" s="90" t="str">
        <x:v>null</x:v>
      </x:c>
      <x:c r="H86" s="90" t="str">
        <x:v>null</x:v>
      </x:c>
      <x:c r="I86" s="90" t="n">
        <x:v>200</x:v>
      </x:c>
      <x:c r="J86" s="90" t="str">
        <x:v>[{"code":"community","name":"Community","description":"Physical tasks, community activities and event-based support."},{"code":"knowledge","name":"Knowledge-based","description":"Digital support, data organization, record digitization and similar tasks."}]</x:v>
      </x:c>
      <x:c r="K86" s="89" t="str"/>
    </x:row>
    <x:row r="87" ht="35" customHeight="1">
      <x:c r="A87" s="89" t="str">
        <x:v>CAT-004</x:v>
      </x:c>
      <x:c r="B87" s="89" t="str">
        <x:v>Categories</x:v>
      </x:c>
      <x:c r="C87" s="89" t="str">
        <x:v>Passed</x:v>
      </x:c>
      <x:c r="D87" s="89" t="n">
        <x:v>2</x:v>
      </x:c>
      <x:c r="E87" s="89" t="str">
        <x:v>POST</x:v>
      </x:c>
      <x:c r="F87" s="89" t="str">
        <x:v>/api/v1/auth/login</x:v>
      </x:c>
      <x:c r="G87" s="90" t="str">
        <x:v>null</x:v>
      </x:c>
      <x:c r="H87" s="90" t="str">
        <x:v>{"email":"alex.chen@grow8.dev","password":"&lt;redacted&gt;"}</x:v>
      </x:c>
      <x:c r="I87" s="90" t="n">
        <x:v>200</x:v>
      </x:c>
      <x:c r="J87" s="90" t="str">
        <x:v>{"access_token":"&lt;redacted&gt;","token_type":"bearer","expires_in":3600,"user":{"user_id":5,"email":"alex.chen@grow8.dev","full_name":"Alex Chen","role":"contributor"}}</x:v>
      </x:c>
      <x:c r="K87" s="89" t="str"/>
    </x:row>
    <x:row r="88" ht="35" customHeight="1">
      <x:c r="A88" s="89" t="str">
        <x:v>CAT-004</x:v>
      </x:c>
      <x:c r="B88" s="89" t="str">
        <x:v>Categories</x:v>
      </x:c>
      <x:c r="C88" s="89" t="str">
        <x:v>Passed</x:v>
      </x:c>
      <x:c r="D88" s="89" t="n">
        <x:v>3</x:v>
      </x:c>
      <x:c r="E88" s="89" t="str">
        <x:v>GET</x:v>
      </x:c>
      <x:c r="F88" s="89" t="str">
        <x:v>/api/v1/categories</x:v>
      </x:c>
      <x:c r="G88" s="90" t="str">
        <x:v>null</x:v>
      </x:c>
      <x:c r="H88" s="90" t="str">
        <x:v>null</x:v>
      </x:c>
      <x:c r="I88" s="90" t="n">
        <x:v>200</x:v>
      </x:c>
      <x:c r="J88" s="90" t="str">
        <x:v>[{"code":"community","name":"Community","description":"Physical tasks, community activities and event-based support."},{"code":"knowledge","name":"Knowledge-based","description":"Digital support, data organization, record digitization and similar tasks."}]</x:v>
      </x:c>
      <x:c r="K88" s="89" t="str"/>
    </x:row>
    <x:row r="89" ht="35" customHeight="1">
      <x:c r="A89" s="89" t="str">
        <x:v>CAT-004</x:v>
      </x:c>
      <x:c r="B89" s="89" t="str">
        <x:v>Categories</x:v>
      </x:c>
      <x:c r="C89" s="89" t="str">
        <x:v>Passed</x:v>
      </x:c>
      <x:c r="D89" s="89" t="n">
        <x:v>4</x:v>
      </x:c>
      <x:c r="E89" s="89" t="str">
        <x:v>POST</x:v>
      </x:c>
      <x:c r="F89" s="89" t="str">
        <x:v>/api/v1/auth/login</x:v>
      </x:c>
      <x:c r="G89" s="90" t="str">
        <x:v>null</x:v>
      </x:c>
      <x:c r="H89" s="90" t="str">
        <x:v>{"email":"admin@grow8.dev","password":"&lt;redacted&gt;"}</x:v>
      </x:c>
      <x:c r="I89" s="90" t="n">
        <x:v>200</x:v>
      </x:c>
      <x:c r="J89" s="90" t="str">
        <x:v>{"access_token":"&lt;redacted&gt;","token_type":"bearer","expires_in":3600,"user":{"user_id":1,"email":"admin@grow8.dev","full_name":"Ada Admin","role":"admin"}}</x:v>
      </x:c>
      <x:c r="K89" s="89" t="str"/>
    </x:row>
    <x:row r="90" ht="35" customHeight="1">
      <x:c r="A90" s="89" t="str">
        <x:v>CAT-004</x:v>
      </x:c>
      <x:c r="B90" s="89" t="str">
        <x:v>Categories</x:v>
      </x:c>
      <x:c r="C90" s="89" t="str">
        <x:v>Passed</x:v>
      </x:c>
      <x:c r="D90" s="89" t="n">
        <x:v>5</x:v>
      </x:c>
      <x:c r="E90" s="89" t="str">
        <x:v>GET</x:v>
      </x:c>
      <x:c r="F90" s="89" t="str">
        <x:v>/api/v1/categories</x:v>
      </x:c>
      <x:c r="G90" s="90" t="str">
        <x:v>null</x:v>
      </x:c>
      <x:c r="H90" s="90" t="str">
        <x:v>null</x:v>
      </x:c>
      <x:c r="I90" s="90" t="n">
        <x:v>200</x:v>
      </x:c>
      <x:c r="J90" s="90" t="str">
        <x:v>[{"code":"community","name":"Community","description":"Physical tasks, community activities and event-based support."},{"code":"knowledge","name":"Knowledge-based","description":"Digital support, data organization, record digitization and similar tasks."}]</x:v>
      </x:c>
      <x:c r="K90" s="89" t="str">
        <x:v>Case duration 00:00:01</x:v>
      </x:c>
    </x:row>
    <x:row r="91" ht="35" customHeight="1">
      <x:c r="A91" s="89" t="str">
        <x:v>CAT-005</x:v>
      </x:c>
      <x:c r="B91" s="89" t="str">
        <x:v>Categories</x:v>
      </x:c>
      <x:c r="C91" s="89" t="str">
        <x:v>Passed</x:v>
      </x:c>
      <x:c r="D91" s="89" t="n">
        <x:v>1</x:v>
      </x:c>
      <x:c r="E91" s="89" t="str">
        <x:v>GET</x:v>
      </x:c>
      <x:c r="F91" s="89" t="str">
        <x:v>/api/v1/categories</x:v>
      </x:c>
      <x:c r="G91" s="90" t="str">
        <x:v>null</x:v>
      </x:c>
      <x:c r="H91" s="90" t="str">
        <x:v>null</x:v>
      </x:c>
      <x:c r="I91" s="90" t="n">
        <x:v>200</x:v>
      </x:c>
      <x:c r="J91" s="90" t="str">
        <x:v>[{"code":"community","name":"Community","description":"Physical tasks, community activities and event-based support."},{"code":"knowledge","name":"Knowledge-based","description":"Digital support, data organization, record digitization and similar tasks."}]</x:v>
      </x:c>
      <x:c r="K91" s="89" t="str"/>
    </x:row>
    <x:row r="92" ht="35" customHeight="1">
      <x:c r="A92" s="89" t="str">
        <x:v>CAT-005</x:v>
      </x:c>
      <x:c r="B92" s="89" t="str">
        <x:v>Categories</x:v>
      </x:c>
      <x:c r="C92" s="89" t="str">
        <x:v>Passed</x:v>
      </x:c>
      <x:c r="D92" s="89" t="n">
        <x:v>2</x:v>
      </x:c>
      <x:c r="E92" s="89" t="str">
        <x:v>GET</x:v>
      </x:c>
      <x:c r="F92" s="89" t="str">
        <x:v>/api/v1/categories</x:v>
      </x:c>
      <x:c r="G92" s="90" t="str">
        <x:v>null</x:v>
      </x:c>
      <x:c r="H92" s="90" t="str">
        <x:v>null</x:v>
      </x:c>
      <x:c r="I92" s="90" t="n">
        <x:v>200</x:v>
      </x:c>
      <x:c r="J92" s="90" t="str">
        <x:v>[{"code":"community","name":"Community","description":"Physical tasks, community activities and event-based support."},{"code":"knowledge","name":"Knowledge-based","description":"Digital support, data organization, record digitization and similar tasks."}]</x:v>
      </x:c>
      <x:c r="K92" s="89" t="str"/>
    </x:row>
    <x:row r="93" ht="35" customHeight="1">
      <x:c r="A93" s="89" t="str">
        <x:v>CAT-005</x:v>
      </x:c>
      <x:c r="B93" s="89" t="str">
        <x:v>Categories</x:v>
      </x:c>
      <x:c r="C93" s="89" t="str">
        <x:v>Passed</x:v>
      </x:c>
      <x:c r="D93" s="89" t="n">
        <x:v>3</x:v>
      </x:c>
      <x:c r="E93" s="89" t="str">
        <x:v>GET</x:v>
      </x:c>
      <x:c r="F93" s="89" t="str">
        <x:v>/api/v1/categories</x:v>
      </x:c>
      <x:c r="G93" s="90" t="str">
        <x:v>null</x:v>
      </x:c>
      <x:c r="H93" s="90" t="str">
        <x:v>null</x:v>
      </x:c>
      <x:c r="I93" s="90" t="n">
        <x:v>200</x:v>
      </x:c>
      <x:c r="J93" s="90" t="str">
        <x:v>[{"code":"community","name":"Community","description":"Physical tasks, community activities and event-based support."},{"code":"knowledge","name":"Knowledge-based","description":"Digital support, data organization, record digitization and similar tasks."}]</x:v>
      </x:c>
      <x:c r="K93" s="89" t="str">
        <x:v>Case duration 195 ms</x:v>
      </x:c>
    </x:row>
    <x:row r="94" ht="35" customHeight="1">
      <x:c r="A94" s="89" t="str">
        <x:v>CAT-006</x:v>
      </x:c>
      <x:c r="B94" s="89" t="str">
        <x:v>Categories</x:v>
      </x:c>
      <x:c r="C94" s="89" t="str">
        <x:v>Passed</x:v>
      </x:c>
      <x:c r="D94" s="89" t="n">
        <x:v>1</x:v>
      </x:c>
      <x:c r="E94" s="89" t="str">
        <x:v>GET</x:v>
      </x:c>
      <x:c r="F94" s="89" t="str">
        <x:v>/api/v1/categories</x:v>
      </x:c>
      <x:c r="G94" s="90" t="str">
        <x:v>null</x:v>
      </x:c>
      <x:c r="H94" s="90" t="str">
        <x:v>null</x:v>
      </x:c>
      <x:c r="I94" s="90" t="n">
        <x:v>200</x:v>
      </x:c>
      <x:c r="J94" s="90" t="str">
        <x:v>[{"code":"community","name":"Community","description":"Physical tasks, community activities and event-based support."},{"code":"knowledge","name":"Knowledge-based","description":"Digital support, data organization, record digitization and similar tasks."}]</x:v>
      </x:c>
      <x:c r="K94" s="89" t="str">
        <x:v>Case duration 169 ms</x:v>
      </x:c>
    </x:row>
    <x:row r="95" ht="35" customHeight="1">
      <x:c r="A95" s="89" t="str">
        <x:v>CAT-007</x:v>
      </x:c>
      <x:c r="B95" s="89" t="str">
        <x:v>Categories</x:v>
      </x:c>
      <x:c r="C95" s="89" t="str">
        <x:v>Passed</x:v>
      </x:c>
      <x:c r="D95" s="89" t="n">
        <x:v>1</x:v>
      </x:c>
      <x:c r="E95" s="89" t="str">
        <x:v>GET</x:v>
      </x:c>
      <x:c r="F95" s="89" t="str">
        <x:v>/api/v1/categories</x:v>
      </x:c>
      <x:c r="G95" s="90" t="str">
        <x:v>null</x:v>
      </x:c>
      <x:c r="H95" s="90" t="str">
        <x:v>null</x:v>
      </x:c>
      <x:c r="I95" s="90" t="n">
        <x:v>200</x:v>
      </x:c>
      <x:c r="J95" s="90" t="str">
        <x:v>[{"code":"community","name":"Community","description":"Physical tasks, community activities and event-based support."},{"code":"knowledge","name":"Knowledge-based","description":"Digital support, data organization, record digitization and similar tasks."}]</x:v>
      </x:c>
      <x:c r="K95" s="89" t="str">
        <x:v>Case duration 178 ms</x:v>
      </x:c>
    </x:row>
    <x:row r="96" ht="35" customHeight="1">
      <x:c r="A96" s="89" t="str">
        <x:v>CAT-008</x:v>
      </x:c>
      <x:c r="B96" s="89" t="str">
        <x:v>Categories</x:v>
      </x:c>
      <x:c r="C96" s="89" t="str">
        <x:v>Passed</x:v>
      </x:c>
      <x:c r="D96" s="89" t="n">
        <x:v>1</x:v>
      </x:c>
      <x:c r="E96" s="89" t="str">
        <x:v>GET</x:v>
      </x:c>
      <x:c r="F96" s="89" t="str">
        <x:v>/api/v1/categories</x:v>
      </x:c>
      <x:c r="G96" s="90" t="str">
        <x:v>null</x:v>
      </x:c>
      <x:c r="H96" s="90" t="str">
        <x:v>null</x:v>
      </x:c>
      <x:c r="I96" s="90" t="n">
        <x:v>200</x:v>
      </x:c>
      <x:c r="J96" s="90" t="str">
        <x:v>[{"code":"community","name":"Community","description":"Physical tasks, community activities and event-based support."},{"code":"knowledge","name":"Knowledge-based","description":"Digital support, data organization, record digitization and similar tasks."}]</x:v>
      </x:c>
      <x:c r="K96" s="89" t="str">
        <x:v>Case duration 157 ms</x:v>
      </x:c>
    </x:row>
    <x:row r="97" ht="35" customHeight="1">
      <x:c r="A97" s="89" t="str">
        <x:v>CAT-009</x:v>
      </x:c>
      <x:c r="B97" s="89" t="str">
        <x:v>Categories</x:v>
      </x:c>
      <x:c r="C97" s="89" t="str">
        <x:v>Passed</x:v>
      </x:c>
      <x:c r="D97" s="89" t="n">
        <x:v>1</x:v>
      </x:c>
      <x:c r="E97" s="89" t="str">
        <x:v>GET</x:v>
      </x:c>
      <x:c r="F97" s="89" t="str">
        <x:v>/api/v1/categories</x:v>
      </x:c>
      <x:c r="G97" s="90" t="str">
        <x:v>null</x:v>
      </x:c>
      <x:c r="H97" s="90" t="str">
        <x:v>null</x:v>
      </x:c>
      <x:c r="I97" s="90" t="n">
        <x:v>200</x:v>
      </x:c>
      <x:c r="J97" s="90" t="str">
        <x:v>[{"code":"community","name":"Community","description":"Physical tasks, community activities and event-based support."},{"code":"knowledge","name":"Knowledge-based","description":"Digital support, data organization, record digitization and similar tasks."}]</x:v>
      </x:c>
      <x:c r="K97" s="89" t="str">
        <x:v>Case duration 143 ms</x:v>
      </x:c>
    </x:row>
    <x:row r="98" ht="35" customHeight="1">
      <x:c r="A98" s="89" t="str">
        <x:v>CAT-010</x:v>
      </x:c>
      <x:c r="B98" s="89" t="str">
        <x:v>Categories</x:v>
      </x:c>
      <x:c r="C98" s="89" t="str">
        <x:v>Passed</x:v>
      </x:c>
      <x:c r="D98" s="89" t="n">
        <x:v>1</x:v>
      </x:c>
      <x:c r="E98" s="89" t="str">
        <x:v>GET</x:v>
      </x:c>
      <x:c r="F98" s="89" t="str">
        <x:v>/api/v1/categories</x:v>
      </x:c>
      <x:c r="G98" s="90" t="str">
        <x:v>null</x:v>
      </x:c>
      <x:c r="H98" s="90" t="str">
        <x:v>null</x:v>
      </x:c>
      <x:c r="I98" s="90" t="n">
        <x:v>200</x:v>
      </x:c>
      <x:c r="J98" s="90" t="str">
        <x:v>[{"code":"community","name":"Community","description":"Physical tasks, community activities and event-based support."},{"code":"knowledge","name":"Knowledge-based","description":"Digital support, data organization, record digitization and similar tasks."}]</x:v>
      </x:c>
      <x:c r="K98" s="89" t="str">
        <x:v>Case duration 148 ms</x:v>
      </x:c>
    </x:row>
    <x:row r="99" ht="35" customHeight="1">
      <x:c r="A99" s="89" t="str">
        <x:v>SKL-001</x:v>
      </x:c>
      <x:c r="B99" s="89" t="str">
        <x:v>Skills</x:v>
      </x:c>
      <x:c r="C99" s="89" t="str">
        <x:v>Passed</x:v>
      </x:c>
      <x:c r="D99" s="89" t="n">
        <x:v>1</x:v>
      </x:c>
      <x:c r="E99" s="89" t="str">
        <x:v>GET</x:v>
      </x:c>
      <x:c r="F99" s="89" t="str">
        <x:v>/api/v1/skills</x:v>
      </x:c>
      <x:c r="G99" s="90" t="str">
        <x:v>null</x:v>
      </x:c>
      <x:c r="H99" s="90" t="str">
        <x:v>null</x:v>
      </x:c>
      <x:c r="I99" s="90" t="n">
        <x:v>200</x:v>
      </x:c>
      <x:c r="J99" s="90" t="str">
        <x:v>[{"code":"customer-service","name":"Customer service"},{"code":"data-cleaning","name":"Data cleaning"},{"code":"data-entry","name":"Data entry"},{"code":"event-setup","name":"Event setup"},{"code":"food-handling","name":"Food handling"},{"code":"graphic-design","name":"Graphic design"},{"code":"inventory","name":"Inventory management"},{"code":"photography","name":"Photography"},{"code":"social-media","name":"Social media"},{"code":"spreadsheets","name":"Spreadsheets"},{"code":"translation","name":"Translation"},{"code":"web-basics","name":"Web basics (HTML/CSS)"}]</x:v>
      </x:c>
      <x:c r="K99" s="89" t="str">
        <x:v>Case duration 170 ms</x:v>
      </x:c>
    </x:row>
    <x:row r="100" ht="35" customHeight="1">
      <x:c r="A100" s="89" t="str">
        <x:v>SKL-002</x:v>
      </x:c>
      <x:c r="B100" s="89" t="str">
        <x:v>Skills</x:v>
      </x:c>
      <x:c r="C100" s="89" t="str">
        <x:v>Passed</x:v>
      </x:c>
      <x:c r="D100" s="89" t="n">
        <x:v>1</x:v>
      </x:c>
      <x:c r="E100" s="89" t="str">
        <x:v>GET</x:v>
      </x:c>
      <x:c r="F100" s="89" t="str">
        <x:v>/api/v1/skills</x:v>
      </x:c>
      <x:c r="G100" s="90" t="str">
        <x:v>null</x:v>
      </x:c>
      <x:c r="H100" s="90" t="str">
        <x:v>null</x:v>
      </x:c>
      <x:c r="I100" s="90" t="n">
        <x:v>200</x:v>
      </x:c>
      <x:c r="J100" s="90" t="str">
        <x:v>[{"code":"customer-service","name":"Customer service"},{"code":"data-cleaning","name":"Data cleaning"},{"code":"data-entry","name":"Data entry"},{"code":"event-setup","name":"Event setup"},{"code":"food-handling","name":"Food handling"},{"code":"graphic-design","name":"Graphic design"},{"code":"inventory","name":"Inventory management"},{"code":"photography","name":"Photography"},{"code":"social-media","name":"Social media"},{"code":"spreadsheets","name":"Spreadsheets"},{"code":"translation","name":"Translation"},{"code":"web-basics","name":"Web basics (HTML/CSS)"}]</x:v>
      </x:c>
      <x:c r="K100" s="89" t="str">
        <x:v>Case duration 158 ms</x:v>
      </x:c>
    </x:row>
    <x:row r="101" ht="35" customHeight="1">
      <x:c r="A101" s="89" t="str">
        <x:v>SKL-003</x:v>
      </x:c>
      <x:c r="B101" s="89" t="str">
        <x:v>Skills</x:v>
      </x:c>
      <x:c r="C101" s="89" t="str">
        <x:v>Passed</x:v>
      </x:c>
      <x:c r="D101" s="89" t="n">
        <x:v>1</x:v>
      </x:c>
      <x:c r="E101" s="89" t="str">
        <x:v>GET</x:v>
      </x:c>
      <x:c r="F101" s="89" t="str">
        <x:v>/api/v1/skills</x:v>
      </x:c>
      <x:c r="G101" s="90" t="str">
        <x:v>null</x:v>
      </x:c>
      <x:c r="H101" s="90" t="str">
        <x:v>null</x:v>
      </x:c>
      <x:c r="I101" s="90" t="n">
        <x:v>200</x:v>
      </x:c>
      <x:c r="J101" s="90" t="str">
        <x:v>[{"code":"customer-service","name":"Customer service"},{"code":"data-cleaning","name":"Data cleaning"},{"code":"data-entry","name":"Data entry"},{"code":"event-setup","name":"Event setup"},{"code":"food-handling","name":"Food handling"},{"code":"graphic-design","name":"Graphic design"},{"code":"inventory","name":"Inventory management"},{"code":"photography","name":"Photography"},{"code":"social-media","name":"Social media"},{"code":"spreadsheets","name":"Spreadsheets"},{"code":"translation","name":"Translation"},{"code":"web-basics","name":"Web basics (HTML/CSS)"}]</x:v>
      </x:c>
      <x:c r="K101" s="89" t="str"/>
    </x:row>
    <x:row r="102" ht="35" customHeight="1">
      <x:c r="A102" s="89" t="str">
        <x:v>SKL-003</x:v>
      </x:c>
      <x:c r="B102" s="89" t="str">
        <x:v>Skills</x:v>
      </x:c>
      <x:c r="C102" s="89" t="str">
        <x:v>Passed</x:v>
      </x:c>
      <x:c r="D102" s="89" t="n">
        <x:v>2</x:v>
      </x:c>
      <x:c r="E102" s="89" t="str">
        <x:v>POST</x:v>
      </x:c>
      <x:c r="F102" s="89" t="str">
        <x:v>/api/v1/auth/login</x:v>
      </x:c>
      <x:c r="G102" s="90" t="str">
        <x:v>null</x:v>
      </x:c>
      <x:c r="H102" s="90" t="str">
        <x:v>{"email":"maple.bakery@grow8.dev","password":"&lt;redacted&gt;"}</x:v>
      </x:c>
      <x:c r="I102" s="90" t="n">
        <x:v>200</x:v>
      </x:c>
      <x:c r="J102" s="90" t="str">
        <x:v>{"access_token":"&lt;redacted&gt;","token_type":"bearer","expires_in":3600,"user":{"user_id":2,"email":"maple.bakery@grow8.dev","full_name":"Priya Nair","role":"creator"}}</x:v>
      </x:c>
      <x:c r="K102" s="89" t="str"/>
    </x:row>
    <x:row r="103" ht="35" customHeight="1">
      <x:c r="A103" s="89" t="str">
        <x:v>SKL-003</x:v>
      </x:c>
      <x:c r="B103" s="89" t="str">
        <x:v>Skills</x:v>
      </x:c>
      <x:c r="C103" s="89" t="str">
        <x:v>Passed</x:v>
      </x:c>
      <x:c r="D103" s="89" t="n">
        <x:v>3</x:v>
      </x:c>
      <x:c r="E103" s="89" t="str">
        <x:v>GET</x:v>
      </x:c>
      <x:c r="F103" s="89" t="str">
        <x:v>/api/v1/skills</x:v>
      </x:c>
      <x:c r="G103" s="90" t="str">
        <x:v>null</x:v>
      </x:c>
      <x:c r="H103" s="90" t="str">
        <x:v>null</x:v>
      </x:c>
      <x:c r="I103" s="90" t="n">
        <x:v>200</x:v>
      </x:c>
      <x:c r="J103" s="90" t="str">
        <x:v>[{"code":"customer-service","name":"Customer service"},{"code":"data-cleaning","name":"Data cleaning"},{"code":"data-entry","name":"Data entry"},{"code":"event-setup","name":"Event setup"},{"code":"food-handling","name":"Food handling"},{"code":"graphic-design","name":"Graphic design"},{"code":"inventory","name":"Inventory management"},{"code":"photography","name":"Photography"},{"code":"social-media","name":"Social media"},{"code":"spreadsheets","name":"Spreadsheets"},{"code":"translation","name":"Translation"},{"code":"web-basics","name":"Web basics (HTML/CSS)"}]</x:v>
      </x:c>
      <x:c r="K103" s="89" t="str">
        <x:v>Case duration 743 ms</x:v>
      </x:c>
    </x:row>
    <x:row r="104" ht="35" customHeight="1">
      <x:c r="A104" s="89" t="str">
        <x:v>SKL-004</x:v>
      </x:c>
      <x:c r="B104" s="89" t="str">
        <x:v>Skills</x:v>
      </x:c>
      <x:c r="C104" s="89" t="str">
        <x:v>Passed</x:v>
      </x:c>
      <x:c r="D104" s="89" t="n">
        <x:v>1</x:v>
      </x:c>
      <x:c r="E104" s="89" t="str">
        <x:v>GET</x:v>
      </x:c>
      <x:c r="F104" s="89" t="str">
        <x:v>/api/v1/skills</x:v>
      </x:c>
      <x:c r="G104" s="90" t="str">
        <x:v>null</x:v>
      </x:c>
      <x:c r="H104" s="90" t="str">
        <x:v>null</x:v>
      </x:c>
      <x:c r="I104" s="90" t="n">
        <x:v>200</x:v>
      </x:c>
      <x:c r="J104" s="90" t="str">
        <x:v>[{"code":"customer-service","name":"Customer service"},{"code":"data-cleaning","name":"Data cleaning"},{"code":"data-entry","name":"Data entry"},{"code":"event-setup","name":"Event setup"},{"code":"food-handling","name":"Food handling"},{"code":"graphic-design","name":"Graphic design"},{"code":"inventory","name":"Inventory management"},{"code":"photography","name":"Photography"},{"code":"social-media","name":"Social media"},{"code":"spreadsheets","name":"Spreadsheets"},{"code":"translation","name":"Translation"},{"code":"web-basics","name":"Web basics (HTML/CSS)"}]</x:v>
      </x:c>
      <x:c r="K104" s="89" t="str"/>
    </x:row>
    <x:row r="105" ht="35" customHeight="1">
      <x:c r="A105" s="89" t="str">
        <x:v>SKL-004</x:v>
      </x:c>
      <x:c r="B105" s="89" t="str">
        <x:v>Skills</x:v>
      </x:c>
      <x:c r="C105" s="89" t="str">
        <x:v>Passed</x:v>
      </x:c>
      <x:c r="D105" s="89" t="n">
        <x:v>2</x:v>
      </x:c>
      <x:c r="E105" s="89" t="str">
        <x:v>POST</x:v>
      </x:c>
      <x:c r="F105" s="89" t="str">
        <x:v>/api/v1/auth/login</x:v>
      </x:c>
      <x:c r="G105" s="90" t="str">
        <x:v>null</x:v>
      </x:c>
      <x:c r="H105" s="90" t="str">
        <x:v>{"email":"alex.chen@grow8.dev","password":"&lt;redacted&gt;"}</x:v>
      </x:c>
      <x:c r="I105" s="90" t="n">
        <x:v>200</x:v>
      </x:c>
      <x:c r="J105" s="90" t="str">
        <x:v>{"access_token":"&lt;redacted&gt;","token_type":"bearer","expires_in":3600,"user":{"user_id":5,"email":"alex.chen@grow8.dev","full_name":"Alex Chen","role":"contributor"}}</x:v>
      </x:c>
      <x:c r="K105" s="89" t="str"/>
    </x:row>
    <x:row r="106" ht="35" customHeight="1">
      <x:c r="A106" s="89" t="str">
        <x:v>SKL-004</x:v>
      </x:c>
      <x:c r="B106" s="89" t="str">
        <x:v>Skills</x:v>
      </x:c>
      <x:c r="C106" s="89" t="str">
        <x:v>Passed</x:v>
      </x:c>
      <x:c r="D106" s="89" t="n">
        <x:v>3</x:v>
      </x:c>
      <x:c r="E106" s="89" t="str">
        <x:v>GET</x:v>
      </x:c>
      <x:c r="F106" s="89" t="str">
        <x:v>/api/v1/skills</x:v>
      </x:c>
      <x:c r="G106" s="90" t="str">
        <x:v>null</x:v>
      </x:c>
      <x:c r="H106" s="90" t="str">
        <x:v>null</x:v>
      </x:c>
      <x:c r="I106" s="90" t="n">
        <x:v>200</x:v>
      </x:c>
      <x:c r="J106" s="90" t="str">
        <x:v>[{"code":"customer-service","name":"Customer service"},{"code":"data-cleaning","name":"Data cleaning"},{"code":"data-entry","name":"Data entry"},{"code":"event-setup","name":"Event setup"},{"code":"food-handling","name":"Food handling"},{"code":"graphic-design","name":"Graphic design"},{"code":"inventory","name":"Inventory management"},{"code":"photography","name":"Photography"},{"code":"social-media","name":"Social media"},{"code":"spreadsheets","name":"Spreadsheets"},{"code":"translation","name":"Translation"},{"code":"web-basics","name":"Web basics (HTML/CSS)"}]</x:v>
      </x:c>
      <x:c r="K106" s="89" t="str"/>
    </x:row>
    <x:row r="107" ht="35" customHeight="1">
      <x:c r="A107" s="89" t="str">
        <x:v>SKL-004</x:v>
      </x:c>
      <x:c r="B107" s="89" t="str">
        <x:v>Skills</x:v>
      </x:c>
      <x:c r="C107" s="89" t="str">
        <x:v>Passed</x:v>
      </x:c>
      <x:c r="D107" s="89" t="n">
        <x:v>4</x:v>
      </x:c>
      <x:c r="E107" s="89" t="str">
        <x:v>POST</x:v>
      </x:c>
      <x:c r="F107" s="89" t="str">
        <x:v>/api/v1/auth/login</x:v>
      </x:c>
      <x:c r="G107" s="90" t="str">
        <x:v>null</x:v>
      </x:c>
      <x:c r="H107" s="90" t="str">
        <x:v>{"email":"admin@grow8.dev","password":"&lt;redacted&gt;"}</x:v>
      </x:c>
      <x:c r="I107" s="90" t="n">
        <x:v>200</x:v>
      </x:c>
      <x:c r="J107" s="90" t="str">
        <x:v>{"access_token":"&lt;redacted&gt;","token_type":"bearer","expires_in":3600,"user":{"user_id":1,"email":"admin@grow8.dev","full_name":"Ada Admin","role":"admin"}}</x:v>
      </x:c>
      <x:c r="K107" s="89" t="str"/>
    </x:row>
    <x:row r="108" ht="35" customHeight="1">
      <x:c r="A108" s="89" t="str">
        <x:v>SKL-004</x:v>
      </x:c>
      <x:c r="B108" s="89" t="str">
        <x:v>Skills</x:v>
      </x:c>
      <x:c r="C108" s="89" t="str">
        <x:v>Passed</x:v>
      </x:c>
      <x:c r="D108" s="89" t="n">
        <x:v>5</x:v>
      </x:c>
      <x:c r="E108" s="89" t="str">
        <x:v>GET</x:v>
      </x:c>
      <x:c r="F108" s="89" t="str">
        <x:v>/api/v1/skills</x:v>
      </x:c>
      <x:c r="G108" s="90" t="str">
        <x:v>null</x:v>
      </x:c>
      <x:c r="H108" s="90" t="str">
        <x:v>null</x:v>
      </x:c>
      <x:c r="I108" s="90" t="n">
        <x:v>200</x:v>
      </x:c>
      <x:c r="J108" s="90" t="str">
        <x:v>[{"code":"customer-service","name":"Customer service"},{"code":"data-cleaning","name":"Data cleaning"},{"code":"data-entry","name":"Data entry"},{"code":"event-setup","name":"Event setup"},{"code":"food-handling","name":"Food handling"},{"code":"graphic-design","name":"Graphic design"},{"code":"inventory","name":"Inventory management"},{"code":"photography","name":"Photography"},{"code":"social-media","name":"Social media"},{"code":"spreadsheets","name":"Spreadsheets"},{"code":"translation","name":"Translation"},{"code":"web-basics","name":"Web basics (HTML/CSS)"}]</x:v>
      </x:c>
      <x:c r="K108" s="89" t="str">
        <x:v>Case duration 00:00:01</x:v>
      </x:c>
    </x:row>
    <x:row r="109" ht="35" customHeight="1">
      <x:c r="A109" s="89" t="str">
        <x:v>SKL-005</x:v>
      </x:c>
      <x:c r="B109" s="89" t="str">
        <x:v>Skills</x:v>
      </x:c>
      <x:c r="C109" s="89" t="str">
        <x:v>Passed</x:v>
      </x:c>
      <x:c r="D109" s="89" t="n">
        <x:v>1</x:v>
      </x:c>
      <x:c r="E109" s="89" t="str">
        <x:v>GET</x:v>
      </x:c>
      <x:c r="F109" s="89" t="str">
        <x:v>/api/v1/skills</x:v>
      </x:c>
      <x:c r="G109" s="90" t="str">
        <x:v>null</x:v>
      </x:c>
      <x:c r="H109" s="90" t="str">
        <x:v>null</x:v>
      </x:c>
      <x:c r="I109" s="90" t="n">
        <x:v>200</x:v>
      </x:c>
      <x:c r="J109" s="90" t="str">
        <x:v>[{"code":"customer-service","name":"Customer service"},{"code":"data-cleaning","name":"Data cleaning"},{"code":"data-entry","name":"Data entry"},{"code":"event-setup","name":"Event setup"},{"code":"food-handling","name":"Food handling"},{"code":"graphic-design","name":"Graphic design"},{"code":"inventory","name":"Inventory management"},{"code":"photography","name":"Photography"},{"code":"social-media","name":"Social media"},{"code":"spreadsheets","name":"Spreadsheets"},{"code":"translation","name":"Translation"},{"code":"web-basics","name":"Web basics (HTML/CSS)"}]</x:v>
      </x:c>
      <x:c r="K109" s="89" t="str"/>
    </x:row>
    <x:row r="110" ht="35" customHeight="1">
      <x:c r="A110" s="89" t="str">
        <x:v>SKL-005</x:v>
      </x:c>
      <x:c r="B110" s="89" t="str">
        <x:v>Skills</x:v>
      </x:c>
      <x:c r="C110" s="89" t="str">
        <x:v>Passed</x:v>
      </x:c>
      <x:c r="D110" s="89" t="n">
        <x:v>2</x:v>
      </x:c>
      <x:c r="E110" s="89" t="str">
        <x:v>GET</x:v>
      </x:c>
      <x:c r="F110" s="89" t="str">
        <x:v>/api/v1/skills</x:v>
      </x:c>
      <x:c r="G110" s="90" t="str">
        <x:v>null</x:v>
      </x:c>
      <x:c r="H110" s="90" t="str">
        <x:v>null</x:v>
      </x:c>
      <x:c r="I110" s="90" t="n">
        <x:v>200</x:v>
      </x:c>
      <x:c r="J110" s="90" t="str">
        <x:v>[{"code":"customer-service","name":"Customer service"},{"code":"data-cleaning","name":"Data cleaning"},{"code":"data-entry","name":"Data entry"},{"code":"event-setup","name":"Event setup"},{"code":"food-handling","name":"Food handling"},{"code":"graphic-design","name":"Graphic design"},{"code":"inventory","name":"Inventory management"},{"code":"photography","name":"Photography"},{"code":"social-media","name":"Social media"},{"code":"spreadsheets","name":"Spreadsheets"},{"code":"translation","name":"Translation"},{"code":"web-basics","name":"Web basics (HTML/CSS)"}]</x:v>
      </x:c>
      <x:c r="K110" s="89" t="str"/>
    </x:row>
    <x:row r="111" ht="35" customHeight="1">
      <x:c r="A111" s="89" t="str">
        <x:v>SKL-005</x:v>
      </x:c>
      <x:c r="B111" s="89" t="str">
        <x:v>Skills</x:v>
      </x:c>
      <x:c r="C111" s="89" t="str">
        <x:v>Passed</x:v>
      </x:c>
      <x:c r="D111" s="89" t="n">
        <x:v>3</x:v>
      </x:c>
      <x:c r="E111" s="89" t="str">
        <x:v>GET</x:v>
      </x:c>
      <x:c r="F111" s="89" t="str">
        <x:v>/api/v1/skills</x:v>
      </x:c>
      <x:c r="G111" s="90" t="str">
        <x:v>null</x:v>
      </x:c>
      <x:c r="H111" s="90" t="str">
        <x:v>null</x:v>
      </x:c>
      <x:c r="I111" s="90" t="n">
        <x:v>200</x:v>
      </x:c>
      <x:c r="J111" s="90" t="str">
        <x:v>[{"code":"customer-service","name":"Customer service"},{"code":"data-cleaning","name":"Data cleaning"},{"code":"data-entry","name":"Data entry"},{"code":"event-setup","name":"Event setup"},{"code":"food-handling","name":"Food handling"},{"code":"graphic-design","name":"Graphic design"},{"code":"inventory","name":"Inventory management"},{"code":"photography","name":"Photography"},{"code":"social-media","name":"Social media"},{"code":"spreadsheets","name":"Spreadsheets"},{"code":"translation","name":"Translation"},{"code":"web-basics","name":"Web basics (HTML/CSS)"}]</x:v>
      </x:c>
      <x:c r="K111" s="89" t="str">
        <x:v>Case duration 239 ms</x:v>
      </x:c>
    </x:row>
    <x:row r="112" ht="35" customHeight="1">
      <x:c r="A112" s="89" t="str">
        <x:v>SKL-006</x:v>
      </x:c>
      <x:c r="B112" s="89" t="str">
        <x:v>Skills</x:v>
      </x:c>
      <x:c r="C112" s="89" t="str">
        <x:v>Passed</x:v>
      </x:c>
      <x:c r="D112" s="89" t="n">
        <x:v>1</x:v>
      </x:c>
      <x:c r="E112" s="89" t="str">
        <x:v>GET</x:v>
      </x:c>
      <x:c r="F112" s="89" t="str">
        <x:v>/api/v1/skills</x:v>
      </x:c>
      <x:c r="G112" s="90" t="str">
        <x:v>null</x:v>
      </x:c>
      <x:c r="H112" s="90" t="str">
        <x:v>null</x:v>
      </x:c>
      <x:c r="I112" s="90" t="n">
        <x:v>200</x:v>
      </x:c>
      <x:c r="J112" s="90" t="str">
        <x:v>[{"code":"customer-service","name":"Customer service"},{"code":"data-cleaning","name":"Data cleaning"},{"code":"data-entry","name":"Data entry"},{"code":"event-setup","name":"Event setup"},{"code":"food-handling","name":"Food handling"},{"code":"graphic-design","name":"Graphic design"},{"code":"inventory","name":"Inventory management"},{"code":"photography","name":"Photography"},{"code":"social-media","name":"Social media"},{"code":"spreadsheets","name":"Spreadsheets"},{"code":"translation","name":"Translation"},{"code":"web-basics","name":"Web basics (HTML/CSS)"}]</x:v>
      </x:c>
      <x:c r="K112" s="89" t="str">
        <x:v>Case duration 165 ms</x:v>
      </x:c>
    </x:row>
    <x:row r="113" ht="35" customHeight="1">
      <x:c r="A113" s="89" t="str">
        <x:v>SKL-007</x:v>
      </x:c>
      <x:c r="B113" s="89" t="str">
        <x:v>Skills</x:v>
      </x:c>
      <x:c r="C113" s="89" t="str">
        <x:v>Passed</x:v>
      </x:c>
      <x:c r="D113" s="89" t="n">
        <x:v>1</x:v>
      </x:c>
      <x:c r="E113" s="89" t="str">
        <x:v>GET</x:v>
      </x:c>
      <x:c r="F113" s="89" t="str">
        <x:v>/api/v1/skills</x:v>
      </x:c>
      <x:c r="G113" s="90" t="str">
        <x:v>null</x:v>
      </x:c>
      <x:c r="H113" s="90" t="str">
        <x:v>null</x:v>
      </x:c>
      <x:c r="I113" s="90" t="n">
        <x:v>200</x:v>
      </x:c>
      <x:c r="J113" s="90" t="str">
        <x:v>[{"code":"customer-service","name":"Customer service"},{"code":"data-cleaning","name":"Data cleaning"},{"code":"data-entry","name":"Data entry"},{"code":"event-setup","name":"Event setup"},{"code":"food-handling","name":"Food handling"},{"code":"graphic-design","name":"Graphic design"},{"code":"inventory","name":"Inventory management"},{"code":"photography","name":"Photography"},{"code":"social-media","name":"Social media"},{"code":"spreadsheets","name":"Spreadsheets"},{"code":"translation","name":"Translation"},{"code":"web-basics","name":"Web basics (HTML/CSS)"}]</x:v>
      </x:c>
      <x:c r="K113" s="89" t="str">
        <x:v>Case duration 166 ms</x:v>
      </x:c>
    </x:row>
    <x:row r="114" ht="35" customHeight="1">
      <x:c r="A114" s="89" t="str">
        <x:v>SKL-008</x:v>
      </x:c>
      <x:c r="B114" s="89" t="str">
        <x:v>Skills</x:v>
      </x:c>
      <x:c r="C114" s="89" t="str">
        <x:v>Passed</x:v>
      </x:c>
      <x:c r="D114" s="89" t="n">
        <x:v>1</x:v>
      </x:c>
      <x:c r="E114" s="89" t="str">
        <x:v>GET</x:v>
      </x:c>
      <x:c r="F114" s="89" t="str">
        <x:v>/api/v1/skills</x:v>
      </x:c>
      <x:c r="G114" s="90" t="str">
        <x:v>null</x:v>
      </x:c>
      <x:c r="H114" s="90" t="str">
        <x:v>null</x:v>
      </x:c>
      <x:c r="I114" s="90" t="n">
        <x:v>200</x:v>
      </x:c>
      <x:c r="J114" s="90" t="str">
        <x:v>[{"code":"customer-service","name":"Customer service"},{"code":"data-cleaning","name":"Data cleaning"},{"code":"data-entry","name":"Data entry"},{"code":"event-setup","name":"Event setup"},{"code":"food-handling","name":"Food handling"},{"code":"graphic-design","name":"Graphic design"},{"code":"inventory","name":"Inventory management"},{"code":"photography","name":"Photography"},{"code":"social-media","name":"Social media"},{"code":"spreadsheets","name":"Spreadsheets"},{"code":"translation","name":"Translation"},{"code":"web-basics","name":"Web basics (HTML/CSS)"}]</x:v>
      </x:c>
      <x:c r="K114" s="89" t="str">
        <x:v>Case duration 162 ms</x:v>
      </x:c>
    </x:row>
    <x:row r="115" ht="35" customHeight="1">
      <x:c r="A115" s="89" t="str">
        <x:v>SKL-009</x:v>
      </x:c>
      <x:c r="B115" s="89" t="str">
        <x:v>Skills</x:v>
      </x:c>
      <x:c r="C115" s="89" t="str">
        <x:v>Passed</x:v>
      </x:c>
      <x:c r="D115" s="89" t="n">
        <x:v>1</x:v>
      </x:c>
      <x:c r="E115" s="89" t="str">
        <x:v>GET</x:v>
      </x:c>
      <x:c r="F115" s="89" t="str">
        <x:v>/api/v1/skills</x:v>
      </x:c>
      <x:c r="G115" s="90" t="str">
        <x:v>null</x:v>
      </x:c>
      <x:c r="H115" s="90" t="str">
        <x:v>null</x:v>
      </x:c>
      <x:c r="I115" s="90" t="n">
        <x:v>200</x:v>
      </x:c>
      <x:c r="J115" s="90" t="str">
        <x:v>[{"code":"customer-service","name":"Customer service"},{"code":"data-cleaning","name":"Data cleaning"},{"code":"data-entry","name":"Data entry"},{"code":"event-setup","name":"Event setup"},{"code":"food-handling","name":"Food handling"},{"code":"graphic-design","name":"Graphic design"},{"code":"inventory","name":"Inventory management"},{"code":"photography","name":"Photography"},{"code":"social-media","name":"Social media"},{"code":"spreadsheets","name":"Spreadsheets"},{"code":"translation","name":"Translation"},{"code":"web-basics","name":"Web basics (HTML/CSS)"}]</x:v>
      </x:c>
      <x:c r="K115" s="89" t="str">
        <x:v>Case duration 142 ms</x:v>
      </x:c>
    </x:row>
    <x:row r="116" ht="35" customHeight="1">
      <x:c r="A116" s="89" t="str">
        <x:v>SKL-010</x:v>
      </x:c>
      <x:c r="B116" s="89" t="str">
        <x:v>Skills</x:v>
      </x:c>
      <x:c r="C116" s="89" t="str">
        <x:v>Passed</x:v>
      </x:c>
      <x:c r="D116" s="89" t="n">
        <x:v>1</x:v>
      </x:c>
      <x:c r="E116" s="89" t="str">
        <x:v>GET</x:v>
      </x:c>
      <x:c r="F116" s="89" t="str">
        <x:v>/api/v1/skills</x:v>
      </x:c>
      <x:c r="G116" s="90" t="str">
        <x:v>null</x:v>
      </x:c>
      <x:c r="H116" s="90" t="str">
        <x:v>null</x:v>
      </x:c>
      <x:c r="I116" s="90" t="n">
        <x:v>200</x:v>
      </x:c>
      <x:c r="J116" s="90" t="str">
        <x:v>[{"code":"customer-service","name":"Customer service"},{"code":"data-cleaning","name":"Data cleaning"},{"code":"data-entry","name":"Data entry"},{"code":"event-setup","name":"Event setup"},{"code":"food-handling","name":"Food handling"},{"code":"graphic-design","name":"Graphic design"},{"code":"inventory","name":"Inventory management"},{"code":"photography","name":"Photography"},{"code":"social-media","name":"Social media"},{"code":"spreadsheets","name":"Spreadsheets"},{"code":"translation","name":"Translation"},{"code":"web-basics","name":"Web basics (HTML/CSS)"}]</x:v>
      </x:c>
      <x:c r="K116" s="89" t="str">
        <x:v>Case duration 140 ms</x:v>
      </x:c>
    </x:row>
    <x:row r="117" ht="35" customHeight="1">
      <x:c r="A117" s="89" t="str">
        <x:v>OPP-LIST-001</x:v>
      </x:c>
      <x:c r="B117" s="89" t="str">
        <x:v>Browse Opportunities</x:v>
      </x:c>
      <x:c r="C117" s="89" t="str">
        <x:v>Passed</x:v>
      </x:c>
      <x:c r="D117" s="89" t="n">
        <x:v>1</x:v>
      </x:c>
      <x:c r="E117" s="89" t="str">
        <x:v>GET</x:v>
      </x:c>
      <x:c r="F117" s="89" t="str">
        <x:v>/api/v1/opportunities</x:v>
      </x:c>
      <x:c r="G117" s="90" t="str">
        <x:v>null</x:v>
      </x:c>
      <x:c r="H117" s="90" t="str">
        <x:v>null</x:v>
      </x:c>
      <x:c r="I117" s="90" t="n">
        <x:v>200</x:v>
      </x:c>
      <x:c r="J117" s="90" t="str">
        <x:v>{"items":[{"opportunity_id":2,"title":"Inventory spreadsheet cleanup","description":"Merge three years of supplier spreadsheets into one clean inventory sheet.","status":"open","category":{"code":"knowledge","name":"Knowledge-based","description":"Digital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Bakery","organization_type":"small_business","city":"Calgary"},"skills":[{"code":"data-cleaning","name":"Data cleaning"},{"code":"inventory","name":"Inventory management"},{"code":"spreadsheets","name":"Spreadsheets"}],"requirements":"Comfortable with spreadsheet formulas and removing duplicates.","location":null,"work_mode":"remote","start_date":"2026-11-10","end_date":"2026-11-24","expected_hours":12.0,"compensation_type":"stipend","compensation_amount":150.0,"compensation_details":"Stipend paid at completion.","applicant_limit":1,"application_deadline":"2026-11-05T23:59:59Z","working_conditions":"Fully remote, self-paced.","safety_information":"Remote work; take regular screen breaks.","accessibility_details":"Remote; any assistive technology you already use is fine.","published_at":"2026-10-05T16:00:00Z","created_at":"2026-10-05T15:00:00Z","updated_at":"2026-10-28T06:02:58Z"},{"opportunity_id":12,"title":"Event photographer for community fun run","description":"Photograph the start, finish and award ceremony of a 5 km community run.","status":"open","category":{"code":"communit… [truncated]</x:v>
      </x:c>
      <x:c r="K117" s="89" t="str">
        <x:v>Case duration 167 ms</x:v>
      </x:c>
    </x:row>
    <x:row r="118" ht="35" customHeight="1">
      <x:c r="A118" s="89" t="str">
        <x:v>OPP-LIST-002</x:v>
      </x:c>
      <x:c r="B118" s="89" t="str">
        <x:v>Browse Opportunities</x:v>
      </x:c>
      <x:c r="C118" s="89" t="str">
        <x:v>Passed</x:v>
      </x:c>
      <x:c r="D118" s="89" t="n">
        <x:v>1</x:v>
      </x:c>
      <x:c r="E118" s="89" t="str">
        <x:v>GET</x:v>
      </x:c>
      <x:c r="F118" s="89" t="str">
        <x:v>/api/v1/opportunities</x:v>
      </x:c>
      <x:c r="G118" s="90" t="str">
        <x:v>null</x:v>
      </x:c>
      <x:c r="H118" s="90" t="str">
        <x:v>null</x:v>
      </x:c>
      <x:c r="I118" s="90" t="n">
        <x:v>200</x:v>
      </x:c>
      <x:c r="J118" s="90" t="str">
        <x:v>{"items":[{"opportunity_id":2,"title":"Inventory spreadsheet cleanup","description":"Merge three years of supplier spreadsheets into one clean inventory sheet.","status":"open","category":{"code":"knowledge","name":"Knowledge-based","description":"Digital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Bakery","organization_type":"small_business","city":"Calgary"},"skills":[{"code":"data-cleaning","name":"Data cleaning"},{"code":"inventory","name":"Inventory management"},{"code":"spreadsheets","name":"Spreadsheets"}],"requirements":"Comfortable with spreadsheet formulas and removing duplicates.","location":null,"work_mode":"remote","start_date":"2026-11-10","end_date":"2026-11-24","expected_hours":12.0,"compensation_type":"stipend","compensation_amount":150.0,"compensation_details":"Stipend paid at completion.","applicant_limit":1,"application_deadline":"2026-11-05T23:59:59Z","working_conditions":"Fully remote, self-paced.","safety_information":"Remote work; take regular screen breaks.","accessibility_details":"Remote; any assistive technology you already use is fine.","published_at":"2026-10-05T16:00:00Z","created_at":"2026-10-05T15:00:00Z","updated_at":"2026-10-28T06:02:58Z"},{"opportunity_id":12,"title":"Event photographer for community fun run","description":"Photograph the start, finish and award ceremony of a 5 km community run.","status":"open","category":{"code":"communit… [truncated]</x:v>
      </x:c>
      <x:c r="K118" s="89" t="str">
        <x:v>Case duration 209 ms</x:v>
      </x:c>
    </x:row>
    <x:row r="119" ht="35" customHeight="1">
      <x:c r="A119" s="89" t="str">
        <x:v>OPP-LIST-003</x:v>
      </x:c>
      <x:c r="B119" s="89" t="str">
        <x:v>Browse Opportunities</x:v>
      </x:c>
      <x:c r="C119" s="89" t="str">
        <x:v>Passed</x:v>
      </x:c>
      <x:c r="D119" s="89" t="n">
        <x:v>1</x:v>
      </x:c>
      <x:c r="E119" s="89" t="str">
        <x:v>GET</x:v>
      </x:c>
      <x:c r="F119" s="89" t="str">
        <x:v>/api/v1/opportunities</x:v>
      </x:c>
      <x:c r="G119" s="90" t="str">
        <x:v>null</x:v>
      </x:c>
      <x:c r="H119" s="90" t="str">
        <x:v>null</x:v>
      </x:c>
      <x:c r="I119" s="90" t="n">
        <x:v>200</x:v>
      </x:c>
      <x:c r="J119" s="90" t="str">
        <x:v>{"items":[{"opportunity_id":2,"title":"Inventory spreadsheet cleanup","description":"Merge three years of supplier spreadsheets into one clean inventory sheet.","status":"open","category":{"code":"knowledge","name":"Knowledge-based","description":"Digital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Bakery","organization_type":"small_business","city":"Calgary"},"skills":[{"code":"data-cleaning","name":"Data cleaning"},{"code":"inventory","name":"Inventory management"},{"code":"spreadsheets","name":"Spreadsheets"}],"requirements":"Comfortable with spreadsheet formulas and removing duplicates.","location":null,"work_mode":"remote","start_date":"2026-11-10","end_date":"2026-11-24","expected_hours":12.0,"compensation_type":"stipend","compensation_amount":150.0,"compensation_details":"Stipend paid at completion.","applicant_limit":1,"application_deadline":"2026-11-05T23:59:59Z","working_conditions":"Fully remote, self-paced.","safety_information":"Remote work; take regular screen breaks.","accessibility_details":"Remote; any assistive technology you already use is fine.","published_at":"2026-10-05T16:00:00Z","created_at":"2026-10-05T15:00:00Z","updated_at":"2026-10-28T06:02:58Z"},{"opportunity_id":12,"title":"Event photographer for community fun run","description":"Photograph the start, finish and award ceremony of a 5 km community run.","status":"open","category":{"code":"communit… [truncated]</x:v>
      </x:c>
      <x:c r="K119" s="89" t="str"/>
    </x:row>
    <x:row r="120" ht="35" customHeight="1">
      <x:c r="A120" s="89" t="str">
        <x:v>OPP-LIST-003</x:v>
      </x:c>
      <x:c r="B120" s="89" t="str">
        <x:v>Browse Opportunities</x:v>
      </x:c>
      <x:c r="C120" s="89" t="str">
        <x:v>Passed</x:v>
      </x:c>
      <x:c r="D120" s="89" t="n">
        <x:v>2</x:v>
      </x:c>
      <x:c r="E120" s="89" t="str">
        <x:v>POST</x:v>
      </x:c>
      <x:c r="F120" s="89" t="str">
        <x:v>/api/v1/auth/login</x:v>
      </x:c>
      <x:c r="G120" s="90" t="str">
        <x:v>null</x:v>
      </x:c>
      <x:c r="H120" s="90" t="str">
        <x:v>{"email":"maple.bakery@grow8.dev","password":"&lt;redacted&gt;"}</x:v>
      </x:c>
      <x:c r="I120" s="90" t="n">
        <x:v>200</x:v>
      </x:c>
      <x:c r="J120" s="90" t="str">
        <x:v>{"access_token":"&lt;redacted&gt;","token_type":"bearer","expires_in":3600,"user":{"user_id":2,"email":"maple.bakery@grow8.dev","full_name":"Priya Nair","role":"creator"}}</x:v>
      </x:c>
      <x:c r="K120" s="89" t="str"/>
    </x:row>
    <x:row r="121" ht="35" customHeight="1">
      <x:c r="A121" s="89" t="str">
        <x:v>OPP-LIST-003</x:v>
      </x:c>
      <x:c r="B121" s="89" t="str">
        <x:v>Browse Opportunities</x:v>
      </x:c>
      <x:c r="C121" s="89" t="str">
        <x:v>Passed</x:v>
      </x:c>
      <x:c r="D121" s="89" t="n">
        <x:v>3</x:v>
      </x:c>
      <x:c r="E121" s="89" t="str">
        <x:v>GET</x:v>
      </x:c>
      <x:c r="F121" s="89" t="str">
        <x:v>/api/v1/opportunities</x:v>
      </x:c>
      <x:c r="G121" s="90" t="str">
        <x:v>null</x:v>
      </x:c>
      <x:c r="H121" s="90" t="str">
        <x:v>null</x:v>
      </x:c>
      <x:c r="I121" s="90" t="n">
        <x:v>200</x:v>
      </x:c>
      <x:c r="J121" s="90" t="str">
        <x:v>{"items":[{"opportunity_id":2,"title":"Inventory spreadsheet cleanup","description":"Merge three years of supplier spreadsheets into one clean inventory sheet.","status":"open","category":{"code":"knowledge","name":"Knowledge-based","description":"Digital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Bakery","organization_type":"small_business","city":"Calgary"},"skills":[{"code":"data-cleaning","name":"Data cleaning"},{"code":"inventory","name":"Inventory management"},{"code":"spreadsheets","name":"Spreadsheets"}],"requirements":"Comfortable with spreadsheet formulas and removing duplicates.","location":null,"work_mode":"remote","start_date":"2026-11-10","end_date":"2026-11-24","expected_hours":12.0,"compensation_type":"stipend","compensation_amount":150.0,"compensation_details":"Stipend paid at completion.","applicant_limit":1,"application_deadline":"2026-11-05T23:59:59Z","working_conditions":"Fully remote, self-paced.","safety_information":"Remote work; take regular screen breaks.","accessibility_details":"Remote; any assistive technology you already use is fine.","published_at":"2026-10-05T16:00:00Z","created_at":"2026-10-05T15:00:00Z","updated_at":"2026-10-28T06:02:58Z"},{"opportunity_id":12,"title":"Event photographer for community fun run","description":"Photograph the start, finish and award ceremony of a 5 km community run.","status":"open","category":{"code":"communit… [truncated]</x:v>
      </x:c>
      <x:c r="K121" s="89" t="str"/>
    </x:row>
    <x:row r="122" ht="35" customHeight="1">
      <x:c r="A122" s="89" t="str">
        <x:v>OPP-LIST-003</x:v>
      </x:c>
      <x:c r="B122" s="89" t="str">
        <x:v>Browse Opportunities</x:v>
      </x:c>
      <x:c r="C122" s="89" t="str">
        <x:v>Passed</x:v>
      </x:c>
      <x:c r="D122" s="89" t="n">
        <x:v>4</x:v>
      </x:c>
      <x:c r="E122" s="89" t="str">
        <x:v>POST</x:v>
      </x:c>
      <x:c r="F122" s="89" t="str">
        <x:v>/api/v1/auth/login</x:v>
      </x:c>
      <x:c r="G122" s="90" t="str">
        <x:v>null</x:v>
      </x:c>
      <x:c r="H122" s="90" t="str">
        <x:v>{"email":"alex.chen@grow8.dev","password":"&lt;redacted&gt;"}</x:v>
      </x:c>
      <x:c r="I122" s="90" t="n">
        <x:v>200</x:v>
      </x:c>
      <x:c r="J122" s="90" t="str">
        <x:v>{"access_token":"&lt;redacted&gt;","token_type":"bearer","expires_in":3600,"user":{"user_id":5,"email":"alex.chen@grow8.dev","full_name":"Alex Chen","role":"contributor"}}</x:v>
      </x:c>
      <x:c r="K122" s="89" t="str"/>
    </x:row>
    <x:row r="123" ht="35" customHeight="1">
      <x:c r="A123" s="89" t="str">
        <x:v>OPP-LIST-003</x:v>
      </x:c>
      <x:c r="B123" s="89" t="str">
        <x:v>Browse Opportunities</x:v>
      </x:c>
      <x:c r="C123" s="89" t="str">
        <x:v>Passed</x:v>
      </x:c>
      <x:c r="D123" s="89" t="n">
        <x:v>5</x:v>
      </x:c>
      <x:c r="E123" s="89" t="str">
        <x:v>GET</x:v>
      </x:c>
      <x:c r="F123" s="89" t="str">
        <x:v>/api/v1/opportunities</x:v>
      </x:c>
      <x:c r="G123" s="90" t="str">
        <x:v>null</x:v>
      </x:c>
      <x:c r="H123" s="90" t="str">
        <x:v>null</x:v>
      </x:c>
      <x:c r="I123" s="90" t="n">
        <x:v>200</x:v>
      </x:c>
      <x:c r="J123" s="90" t="str">
        <x:v>{"items":[{"opportunity_id":2,"title":"Inventory spreadsheet cleanup","description":"Merge three years of supplier spreadsheets into one clean inventory sheet.","status":"open","category":{"code":"knowledge","name":"Knowledge-based","description":"Digital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Bakery","organization_type":"small_business","city":"Calgary"},"skills":[{"code":"data-cleaning","name":"Data cleaning"},{"code":"inventory","name":"Inventory management"},{"code":"spreadsheets","name":"Spreadsheets"}],"requirements":"Comfortable with spreadsheet formulas and removing duplicates.","location":null,"work_mode":"remote","start_date":"2026-11-10","end_date":"2026-11-24","expected_hours":12.0,"compensation_type":"stipend","compensation_amount":150.0,"compensation_details":"Stipend paid at completion.","applicant_limit":1,"application_deadline":"2026-11-05T23:59:59Z","working_conditions":"Fully remote, self-paced.","safety_information":"Remote work; take regular screen breaks.","accessibility_details":"Remote; any assistive technology you already use is fine.","published_at":"2026-10-05T16:00:00Z","created_at":"2026-10-05T15:00:00Z","updated_at":"2026-10-28T06:02:58Z"},{"opportunity_id":12,"title":"Event photographer for community fun run","description":"Photograph the start, finish and award ceremony of a 5 km community run.","status":"open","category":{"code":"communit… [truncated]</x:v>
      </x:c>
      <x:c r="K123" s="89" t="str"/>
    </x:row>
    <x:row r="124" ht="35" customHeight="1">
      <x:c r="A124" s="89" t="str">
        <x:v>OPP-LIST-003</x:v>
      </x:c>
      <x:c r="B124" s="89" t="str">
        <x:v>Browse Opportunities</x:v>
      </x:c>
      <x:c r="C124" s="89" t="str">
        <x:v>Passed</x:v>
      </x:c>
      <x:c r="D124" s="89" t="n">
        <x:v>6</x:v>
      </x:c>
      <x:c r="E124" s="89" t="str">
        <x:v>POST</x:v>
      </x:c>
      <x:c r="F124" s="89" t="str">
        <x:v>/api/v1/auth/login</x:v>
      </x:c>
      <x:c r="G124" s="90" t="str">
        <x:v>null</x:v>
      </x:c>
      <x:c r="H124" s="90" t="str">
        <x:v>{"email":"admin@grow8.dev","password":"&lt;redacted&gt;"}</x:v>
      </x:c>
      <x:c r="I124" s="90" t="n">
        <x:v>200</x:v>
      </x:c>
      <x:c r="J124" s="90" t="str">
        <x:v>{"access_token":"&lt;redacted&gt;","token_type":"bearer","expires_in":3600,"user":{"user_id":1,"email":"admin@grow8.dev","full_name":"Ada Admin","role":"admin"}}</x:v>
      </x:c>
      <x:c r="K124" s="89" t="str"/>
    </x:row>
    <x:row r="125" ht="35" customHeight="1">
      <x:c r="A125" s="89" t="str">
        <x:v>OPP-LIST-003</x:v>
      </x:c>
      <x:c r="B125" s="89" t="str">
        <x:v>Browse Opportunities</x:v>
      </x:c>
      <x:c r="C125" s="89" t="str">
        <x:v>Passed</x:v>
      </x:c>
      <x:c r="D125" s="89" t="n">
        <x:v>7</x:v>
      </x:c>
      <x:c r="E125" s="89" t="str">
        <x:v>GET</x:v>
      </x:c>
      <x:c r="F125" s="89" t="str">
        <x:v>/api/v1/opportunities</x:v>
      </x:c>
      <x:c r="G125" s="90" t="str">
        <x:v>null</x:v>
      </x:c>
      <x:c r="H125" s="90" t="str">
        <x:v>null</x:v>
      </x:c>
      <x:c r="I125" s="90" t="n">
        <x:v>200</x:v>
      </x:c>
      <x:c r="J125" s="90" t="str">
        <x:v>{"items":[{"opportunity_id":2,"title":"Inventory spreadsheet cleanup","description":"Merge three years of supplier spreadsheets into one clean inventory sheet.","status":"open","category":{"code":"knowledge","name":"Knowledge-based","description":"Digital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Bakery","organization_type":"small_business","city":"Calgary"},"skills":[{"code":"data-cleaning","name":"Data cleaning"},{"code":"inventory","name":"Inventory management"},{"code":"spreadsheets","name":"Spreadsheets"}],"requirements":"Comfortable with spreadsheet formulas and removing duplicates.","location":null,"work_mode":"remote","start_date":"2026-11-10","end_date":"2026-11-24","expected_hours":12.0,"compensation_type":"stipend","compensation_amount":150.0,"compensation_details":"Stipend paid at completion.","applicant_limit":1,"application_deadline":"2026-11-05T23:59:59Z","working_conditions":"Fully remote, self-paced.","safety_information":"Remote work; take regular screen breaks.","accessibility_details":"Remote; any assistive technology you already use is fine.","published_at":"2026-10-05T16:00:00Z","created_at":"2026-10-05T15:00:00Z","updated_at":"2026-10-28T06:02:58Z"},{"opportunity_id":12,"title":"Event photographer for community fun run","description":"Photograph the start, finish and award ceremony of a 5 km community run.","status":"open","category":{"code":"communit… [truncated]</x:v>
      </x:c>
      <x:c r="K125" s="89" t="str">
        <x:v>Case duration 00:00:01</x:v>
      </x:c>
    </x:row>
    <x:row r="126" ht="35" customHeight="1">
      <x:c r="A126" s="89" t="str">
        <x:v>OPP-LIST-004</x:v>
      </x:c>
      <x:c r="B126" s="89" t="str">
        <x:v>Browse Opportunities</x:v>
      </x:c>
      <x:c r="C126" s="89" t="str">
        <x:v>Passed</x:v>
      </x:c>
      <x:c r="D126" s="89" t="n">
        <x:v>1</x:v>
      </x:c>
      <x:c r="E126" s="89" t="str">
        <x:v>GET</x:v>
      </x:c>
      <x:c r="F126" s="89" t="str">
        <x:v>/api/v1/opportunities</x:v>
      </x:c>
      <x:c r="G126" s="90" t="str">
        <x:v>{"limit":100}</x:v>
      </x:c>
      <x:c r="H126" s="90" t="str">
        <x:v>null</x:v>
      </x:c>
      <x:c r="I126" s="90" t="n">
        <x:v>200</x:v>
      </x:c>
      <x:c r="J126" s="90" t="str">
        <x:v>{"items":[{"opportunity_id":2,"title":"Inventory spreadsheet cleanup","description":"Merge three years of supplier spreadsheets into one clean inventory sheet.","status":"open","category":{"code":"knowledge","name":"Knowledge-based","description":"Digital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Bakery","organization_type":"small_business","city":"Calgary"},"skills":[{"code":"data-cleaning","name":"Data cleaning"},{"code":"inventory","name":"Inventory management"},{"code":"spreadsheets","name":"Spreadsheets"}],"requirements":"Comfortable with spreadsheet formulas and removing duplicates.","location":null,"work_mode":"remote","start_date":"2026-11-10","end_date":"2026-11-24","expected_hours":12.0,"compensation_type":"stipend","compensation_amount":150.0,"compensation_details":"Stipend paid at completion.","applicant_limit":1,"application_deadline":"2026-11-05T23:59:59Z","working_conditions":"Fully remote, self-paced.","safety_information":"Remote work; take regular screen breaks.","accessibility_details":"Remote; any assistive technology you already use is fine.","published_at":"2026-10-05T16:00:00Z","created_at":"2026-10-05T15:00:00Z","updated_at":"2026-10-28T06:03:00Z"},{"opportunity_id":12,"title":"Event photographer for community fun run","description":"Photograph the start, finish and award ceremony of a 5 km community run.","status":"open","category":{"code":"communit… [truncated]</x:v>
      </x:c>
      <x:c r="K126" s="89" t="str">
        <x:v>Case duration 185 ms</x:v>
      </x:c>
    </x:row>
    <x:row r="127" ht="35" customHeight="1">
      <x:c r="A127" s="89" t="str">
        <x:v>OPP-LIST-005</x:v>
      </x:c>
      <x:c r="B127" s="89" t="str">
        <x:v>Browse Opportunities</x:v>
      </x:c>
      <x:c r="C127" s="89" t="str">
        <x:v>Passed</x:v>
      </x:c>
      <x:c r="D127" s="89" t="n">
        <x:v>1</x:v>
      </x:c>
      <x:c r="E127" s="89" t="str">
        <x:v>GET</x:v>
      </x:c>
      <x:c r="F127" s="89" t="str">
        <x:v>/api/v1/opportunities</x:v>
      </x:c>
      <x:c r="G127" s="90" t="str">
        <x:v>{"limit":100}</x:v>
      </x:c>
      <x:c r="H127" s="90" t="str">
        <x:v>null</x:v>
      </x:c>
      <x:c r="I127" s="90" t="n">
        <x:v>200</x:v>
      </x:c>
      <x:c r="J127" s="90" t="str">
        <x:v>{"items":[{"opportunity_id":2,"title":"Inventory spreadsheet cleanup","description":"Merge three years of supplier spreadsheets into one clean inventory sheet.","status":"open","category":{"code":"knowledge","name":"Knowledge-based","description":"Digital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Bakery","organization_type":"small_business","city":"Calgary"},"skills":[{"code":"data-cleaning","name":"Data cleaning"},{"code":"inventory","name":"Inventory management"},{"code":"spreadsheets","name":"Spreadsheets"}],"requirements":"Comfortable with spreadsheet formulas and removing duplicates.","location":null,"work_mode":"remote","start_date":"2026-11-10","end_date":"2026-11-24","expected_hours":12.0,"compensation_type":"stipend","compensation_amount":150.0,"compensation_details":"Stipend paid at completion.","applicant_limit":1,"application_deadline":"2026-11-05T23:59:59Z","working_conditions":"Fully remote, self-paced.","safety_information":"Remote work; take regular screen breaks.","accessibility_details":"Remote; any assistive technology you already use is fine.","published_at":"2026-10-05T16:00:00Z","created_at":"2026-10-05T15:00:00Z","updated_at":"2026-10-28T06:03:00Z"},{"opportunity_id":12,"title":"Event photographer for community fun run","description":"Photograph the start, finish and award ceremony of a 5 km community run.","status":"open","category":{"code":"communit… [truncated]</x:v>
      </x:c>
      <x:c r="K127" s="89" t="str">
        <x:v>Case duration 201 ms</x:v>
      </x:c>
    </x:row>
    <x:row r="128" ht="35" customHeight="1">
      <x:c r="A128" s="89" t="str">
        <x:v>OPP-LIST-006</x:v>
      </x:c>
      <x:c r="B128" s="89" t="str">
        <x:v>Browse Opportunities</x:v>
      </x:c>
      <x:c r="C128" s="89" t="str">
        <x:v>Passed</x:v>
      </x:c>
      <x:c r="D128" s="89" t="n">
        <x:v>1</x:v>
      </x:c>
      <x:c r="E128" s="89" t="str">
        <x:v>GET</x:v>
      </x:c>
      <x:c r="F128" s="89" t="str">
        <x:v>/api/v1/opportunities</x:v>
      </x:c>
      <x:c r="G128" s="90" t="str">
        <x:v>null</x:v>
      </x:c>
      <x:c r="H128" s="90" t="str">
        <x:v>null</x:v>
      </x:c>
      <x:c r="I128" s="90" t="n">
        <x:v>200</x:v>
      </x:c>
      <x:c r="J128" s="90" t="str">
        <x:v>{"items":[{"opportunity_id":2,"title":"Inventory spreadsheet cleanup","description":"Merge three years of supplier spreadsheets into one clean inventory sheet.","status":"open","category":{"code":"knowledge","name":"Knowledge-based","description":"Digital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Bakery","organization_type":"small_business","city":"Calgary"},"skills":[{"code":"data-cleaning","name":"Data cleaning"},{"code":"inventory","name":"Inventory management"},{"code":"spreadsheets","name":"Spreadsheets"}],"requirements":"Comfortable with spreadsheet formulas and removing duplicates.","location":null,"work_mode":"remote","start_date":"2026-11-10","end_date":"2026-11-24","expected_hours":12.0,"compensation_type":"stipend","compensation_amount":150.0,"compensation_details":"Stipend paid at completion.","applicant_limit":1,"application_deadline":"2026-11-05T23:59:59Z","working_conditions":"Fully remote, self-paced.","safety_information":"Remote work; take regular screen breaks.","accessibility_details":"Remote; any assistive technology you already use is fine.","published_at":"2026-10-05T16:00:00Z","created_at":"2026-10-05T15:00:00Z","updated_at":"2026-10-28T06:03:00Z"},{"opportunity_id":12,"title":"Event photographer for community fun run","description":"Photograph the start, finish and award ceremony of a 5 km community run.","status":"open","category":{"code":"communit… [truncated]</x:v>
      </x:c>
      <x:c r="K128" s="89" t="str">
        <x:v>Case duration 163 ms</x:v>
      </x:c>
    </x:row>
    <x:row r="129" ht="35" customHeight="1">
      <x:c r="A129" s="89" t="str">
        <x:v>OPP-LIST-007</x:v>
      </x:c>
      <x:c r="B129" s="89" t="str">
        <x:v>Browse Opportunities</x:v>
      </x:c>
      <x:c r="C129" s="89" t="str">
        <x:v>Passed</x:v>
      </x:c>
      <x:c r="D129" s="89" t="n">
        <x:v>1</x:v>
      </x:c>
      <x:c r="E129" s="89" t="str">
        <x:v>GET</x:v>
      </x:c>
      <x:c r="F129" s="89" t="str">
        <x:v>/api/v1/opportunities</x:v>
      </x:c>
      <x:c r="G129" s="90" t="str">
        <x:v>{"q":"inventory spreadsheet"}</x:v>
      </x:c>
      <x:c r="H129" s="90" t="str">
        <x:v>null</x:v>
      </x:c>
      <x:c r="I129" s="90" t="n">
        <x:v>200</x:v>
      </x:c>
      <x:c r="J129" s="90" t="str">
        <x:v>{"items":[{"opportunity_id":2,"title":"Inventory spreadsheet cleanup","description":"Merge three years of supplier spreadsheets into one clean inventory sheet.","status":"open","category":{"code":"knowledge","name":"Knowledge-based","description":"Digital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Bakery","organization_type":"small_business","city":"Calgary"},"skills":[{"code":"data-cleaning","name":"Data cleaning"},{"code":"inventory","name":"Inventory management"},{"code":"spreadsheets","name":"Spreadsheets"}],"requirements":"Comfortable with spreadsheet formulas and removing duplicates.","location":null,"work_mode":"remote","start_date":"2026-11-10","end_date":"2026-11-24","expected_hours":12.0,"compensation_type":"stipend","compensation_amount":150.0,"compensation_details":"Stipend paid at completion.","applicant_limit":1,"application_deadline":"2026-11-05T23:59:59Z","working_conditions":"Fully remote, self-paced.","safety_information":"Remote work; take regular screen breaks.","accessibility_details":"Remote; any assistive technology you already use is fine.","published_at":"2026-10-05T16:00:00Z","created_at":"2026-10-05T15:00:00Z","updated_at":"2026-10-28T06:03:00Z"}],"total":1,"limit":20,"offset":0}</x:v>
      </x:c>
      <x:c r="K129" s="89" t="str">
        <x:v>Case duration 172 ms</x:v>
      </x:c>
    </x:row>
    <x:row r="130" ht="35" customHeight="1">
      <x:c r="A130" s="89" t="str">
        <x:v>OPP-LIST-008</x:v>
      </x:c>
      <x:c r="B130" s="89" t="str">
        <x:v>Browse Opportunities</x:v>
      </x:c>
      <x:c r="C130" s="89" t="str">
        <x:v>Passed</x:v>
      </x:c>
      <x:c r="D130" s="89" t="n">
        <x:v>1</x:v>
      </x:c>
      <x:c r="E130" s="89" t="str">
        <x:v>GET</x:v>
      </x:c>
      <x:c r="F130" s="89" t="str">
        <x:v>/api/v1/opportunities</x:v>
      </x:c>
      <x:c r="G130" s="90" t="str">
        <x:v>{"q":"handwritten recipe"}</x:v>
      </x:c>
      <x:c r="H130" s="90" t="str">
        <x:v>null</x:v>
      </x:c>
      <x:c r="I130" s="90" t="n">
        <x:v>200</x:v>
      </x:c>
      <x:c r="J130" s="90" t="str">
        <x:v>{"items":[{"opportunity_id":1,"title":"Digitize paper recipe archive","description":"Scan and transcribe about 300 handwritten recipe cards into a structured spreadsheet.","status":"open","category":{"code":"knowledge","name":"Knowledge-based","description":"Digital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Bakery","organization_type":"small_business","city":"Calgary"},"skills":[{"code":"data-entry","name":"Data entry"},{"code":"spreadsheets","name":"Spreadsheets"}],"requirements":"Careful typing, basic spreadsheet skills. Scanner provided on site.","location":"Calgary (Kensington)","work_mode":"hybrid","start_date":"2026-11-25","end_date":"2026-12-12","expected_hours":20.0,"compensation_type":"paid","compensation_amount":400.0,"compensation_details":"Flat fee, paid by e-transfer after verification.","applicant_limit":2,"application_deadline":"2026-11-20T23:59:59Z","working_conditions":"Flexible hours; scanning on site, transcription from home.","safety_information":"Standard office setting; no hazards beyond normal computer use.","accessibility_details":"Step-free entrance; adjustable-height desk available.","published_at":"2026-10-01T15:00:00Z","created_at":"2026-09-30T18:00:00Z","updated_at":"2026-10-28T06:03:00Z"}],"total":1,"limit":20,"offset":0}</x:v>
      </x:c>
      <x:c r="K130" s="89" t="str">
        <x:v>Case duration 168 ms</x:v>
      </x:c>
    </x:row>
    <x:row r="131" ht="35" customHeight="1">
      <x:c r="A131" s="89" t="str">
        <x:v>OPP-LIST-009</x:v>
      </x:c>
      <x:c r="B131" s="89" t="str">
        <x:v>Browse Opportunities</x:v>
      </x:c>
      <x:c r="C131" s="89" t="str">
        <x:v>Passed</x:v>
      </x:c>
      <x:c r="D131" s="89" t="n">
        <x:v>1</x:v>
      </x:c>
      <x:c r="E131" s="89" t="str">
        <x:v>GET</x:v>
      </x:c>
      <x:c r="F131" s="89" t="str">
        <x:v>/api/v1/opportunities</x:v>
      </x:c>
      <x:c r="G131" s="90" t="str">
        <x:v>{"q":"food bank"}</x:v>
      </x:c>
      <x:c r="H131" s="90" t="str">
        <x:v>null</x:v>
      </x:c>
      <x:c r="I131" s="90" t="n">
        <x:v>200</x:v>
      </x:c>
      <x:c r="J131" s="90" t="str">
        <x:v>{"items":[{"opportunity_id":5,"title":"Weekend food hamper packing","description":"Pack and label food hampers for families on Saturday mornings.","status":"open","category":{"code":"community","name":"Community","description":"Physical tasks, community activities and event-based support."},"organization":{"organization_id":2,"name":"Bow River Community Food Bank","organization_type":"nonprofit","city":"Calgary"},"skills":[{"code":"food-handling","name":"Food handling"},{"code":"inventory","name":"Inventory management"}],"requirements":"Able to lift boxes up to 10 kg (lighter tasks available).","location":"Calgary (Marlborough)","work_mode":"on_site","start_date":"2026-12-01","end_date":"2027-01-31","expected_hours":24.0,"compensation_type":"unpaid","compensation_amount":null,"compensation_details":"Volunteer role; verified hours count toward your GROW8 record.","applicant_limit":10,"application_deadline":"2026-11-30T23:59:59Z","working_conditions":"Saturday 9:00-12:00 shifts in the warehouse.","safety_information":"Closed-toe shoes required; lifting training on the first shift.","accessibility_details":"Ground-floor warehouse; seated labelling tasks available.","published_at":"2026-09-20T14:00:00Z","created_at":"2026-09-20T13:00:00Z","updated_at":"2026-10-28T06:03:01Z"},{"opportunity_id":6,"title":"Donor database deduplication","description":"Find and merge duplicate donor records in our CRM export before year-end receipts.","status":"open","category":{"c… [truncated]</x:v>
      </x:c>
      <x:c r="K131" s="89" t="str">
        <x:v>Case duration 174 ms</x:v>
      </x:c>
    </x:row>
    <x:row r="132" ht="35" customHeight="1">
      <x:c r="A132" s="89" t="str">
        <x:v>OPP-LIST-010</x:v>
      </x:c>
      <x:c r="B132" s="89" t="str">
        <x:v>Browse Opportunities</x:v>
      </x:c>
      <x:c r="C132" s="89" t="str">
        <x:v>Passed</x:v>
      </x:c>
      <x:c r="D132" s="89" t="n">
        <x:v>1</x:v>
      </x:c>
      <x:c r="E132" s="89" t="str">
        <x:v>GET</x:v>
      </x:c>
      <x:c r="F132" s="89" t="str">
        <x:v>/api/v1/opportunities</x:v>
      </x:c>
      <x:c r="G132" s="90" t="str">
        <x:v>{"q":"SPREADSHEET"}</x:v>
      </x:c>
      <x:c r="H132" s="90" t="str">
        <x:v>null</x:v>
      </x:c>
      <x:c r="I132" s="90" t="n">
        <x:v>200</x:v>
      </x:c>
      <x:c r="J132" s="90" t="str">
        <x:v>{"items":[{"opportunity_id":2,"title":"Inventory spreadsheet cleanup","description":"Merge three years of supplier spreadsheets into one clean inventory sheet.","status":"open","category":{"code":"knowledge","name":"Knowledge-based","description":"Digital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Bakery","organization_type":"small_business","city":"Calgary"},"skills":[{"code":"data-cleaning","name":"Data cleaning"},{"code":"inventory","name":"Inventory management"},{"code":"spreadsheets","name":"Spreadsheets"}],"requirements":"Comfortable with spreadsheet formulas and removing duplicates.","location":null,"work_mode":"remote","start_date":"2026-11-10","end_date":"2026-11-24","expected_hours":12.0,"compensation_type":"stipend","compensation_amount":150.0,"compensation_details":"Stipend paid at completion.","applicant_limit":1,"application_deadline":"2026-11-05T23:59:59Z","working_conditions":"Fully remote, self-paced.","safety_information":"Remote work; take regular screen breaks.","accessibility_details":"Remote; any assistive technology you already use is fine.","published_at":"2026-10-05T16:00:00Z","created_at":"2026-10-05T15:00:00Z","updated_at":"2026-10-28T06:03:01Z"},{"opportunity_id":1,"title":"Digitize paper recipe archive","description":"Scan and transcribe about 300 handwritten recipe cards into a structured spreadsheet.","status":"open","category":{"code":"knowled… [truncated]</x:v>
      </x:c>
      <x:c r="K132" s="89" t="str"/>
    </x:row>
    <x:row r="133" ht="35" customHeight="1">
      <x:c r="A133" s="89" t="str">
        <x:v>OPP-LIST-010</x:v>
      </x:c>
      <x:c r="B133" s="89" t="str">
        <x:v>Browse Opportunities</x:v>
      </x:c>
      <x:c r="C133" s="89" t="str">
        <x:v>Passed</x:v>
      </x:c>
      <x:c r="D133" s="89" t="n">
        <x:v>2</x:v>
      </x:c>
      <x:c r="E133" s="89" t="str">
        <x:v>GET</x:v>
      </x:c>
      <x:c r="F133" s="89" t="str">
        <x:v>/api/v1/opportunities</x:v>
      </x:c>
      <x:c r="G133" s="90" t="str">
        <x:v>{"q":"spreadsheet"}</x:v>
      </x:c>
      <x:c r="H133" s="90" t="str">
        <x:v>null</x:v>
      </x:c>
      <x:c r="I133" s="90" t="n">
        <x:v>200</x:v>
      </x:c>
      <x:c r="J133" s="90" t="str">
        <x:v>{"items":[{"opportunity_id":2,"title":"Inventory spreadsheet cleanup","description":"Merge three years of supplier spreadsheets into one clean inventory sheet.","status":"open","category":{"code":"knowledge","name":"Knowledge-based","description":"Digital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Bakery","organization_type":"small_business","city":"Calgary"},"skills":[{"code":"data-cleaning","name":"Data cleaning"},{"code":"inventory","name":"Inventory management"},{"code":"spreadsheets","name":"Spreadsheets"}],"requirements":"Comfortable with spreadsheet formulas and removing duplicates.","location":null,"work_mode":"remote","start_date":"2026-11-10","end_date":"2026-11-24","expected_hours":12.0,"compensation_type":"stipend","compensation_amount":150.0,"compensation_details":"Stipend paid at completion.","applicant_limit":1,"application_deadline":"2026-11-05T23:59:59Z","working_conditions":"Fully remote, self-paced.","safety_information":"Remote work; take regular screen breaks.","accessibility_details":"Remote; any assistive technology you already use is fine.","published_at":"2026-10-05T16:00:00Z","created_at":"2026-10-05T15:00:00Z","updated_at":"2026-10-28T06:03:01Z"},{"opportunity_id":1,"title":"Digitize paper recipe archive","description":"Scan and transcribe about 300 handwritten recipe cards into a structured spreadsheet.","status":"open","category":{"code":"knowled… [truncated]</x:v>
      </x:c>
      <x:c r="K133" s="89" t="str"/>
    </x:row>
    <x:row r="134" ht="35" customHeight="1">
      <x:c r="A134" s="89" t="str">
        <x:v>OPP-LIST-010</x:v>
      </x:c>
      <x:c r="B134" s="89" t="str">
        <x:v>Browse Opportunities</x:v>
      </x:c>
      <x:c r="C134" s="89" t="str">
        <x:v>Passed</x:v>
      </x:c>
      <x:c r="D134" s="89" t="n">
        <x:v>3</x:v>
      </x:c>
      <x:c r="E134" s="89" t="str">
        <x:v>GET</x:v>
      </x:c>
      <x:c r="F134" s="89" t="str">
        <x:v>/api/v1/opportunities</x:v>
      </x:c>
      <x:c r="G134" s="90" t="str">
        <x:v>{"q":"spreadsheet"}</x:v>
      </x:c>
      <x:c r="H134" s="90" t="str">
        <x:v>null</x:v>
      </x:c>
      <x:c r="I134" s="90" t="n">
        <x:v>200</x:v>
      </x:c>
      <x:c r="J134" s="90" t="str">
        <x:v>{"items":[{"opportunity_id":2,"title":"Inventory spreadsheet cleanup","description":"Merge three years of supplier spreadsheets into one clean inventory sheet.","status":"open","category":{"code":"knowledge","name":"Knowledge-based","description":"Digital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Bakery","organization_type":"small_business","city":"Calgary"},"skills":[{"code":"data-cleaning","name":"Data cleaning"},{"code":"inventory","name":"Inventory management"},{"code":"spreadsheets","name":"Spreadsheets"}],"requirements":"Comfortable with spreadsheet formulas and removing duplicates.","location":null,"work_mode":"remote","start_date":"2026-11-10","end_date":"2026-11-24","expected_hours":12.0,"compensation_type":"stipend","compensation_amount":150.0,"compensation_details":"Stipend paid at completion.","applicant_limit":1,"application_deadline":"2026-11-05T23:59:59Z","working_conditions":"Fully remote, self-paced.","safety_information":"Remote work; take regular screen breaks.","accessibility_details":"Remote; any assistive technology you already use is fine.","published_at":"2026-10-05T16:00:00Z","created_at":"2026-10-05T15:00:00Z","updated_at":"2026-10-28T06:03:01Z"},{"opportunity_id":1,"title":"Digitize paper recipe archive","description":"Scan and transcribe about 300 handwritten recipe cards into a structured spreadsheet.","status":"open","category":{"code":"knowled… [truncated]</x:v>
      </x:c>
      <x:c r="K134" s="89" t="str">
        <x:v>Case duration 193 ms</x:v>
      </x:c>
    </x:row>
    <x:row r="135" ht="35" customHeight="1">
      <x:c r="A135" s="89" t="str">
        <x:v>OPP-LIST-011</x:v>
      </x:c>
      <x:c r="B135" s="89" t="str">
        <x:v>Browse Opportunities</x:v>
      </x:c>
      <x:c r="C135" s="89" t="str">
        <x:v>Passed</x:v>
      </x:c>
      <x:c r="D135" s="89" t="n">
        <x:v>1</x:v>
      </x:c>
      <x:c r="E135" s="89" t="str">
        <x:v>GET</x:v>
      </x:c>
      <x:c r="F135" s="89" t="str">
        <x:v>/api/v1/opportunities</x:v>
      </x:c>
      <x:c r="G135" s="90" t="str">
        <x:v>{"q":"spread"}</x:v>
      </x:c>
      <x:c r="H135" s="90" t="str">
        <x:v>null</x:v>
      </x:c>
      <x:c r="I135" s="90" t="n">
        <x:v>200</x:v>
      </x:c>
      <x:c r="J135" s="90" t="str">
        <x:v>{"items":[{"opportunity_id":2,"title":"Inventory spreadsheet cleanup","description":"Merge three years of supplier spreadsheets into one clean inventory sheet.","status":"open","category":{"code":"knowledge","name":"Knowledge-based","description":"Digital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Bakery","organization_type":"small_business","city":"Calgary"},"skills":[{"code":"data-cleaning","name":"Data cleaning"},{"code":"inventory","name":"Inventory management"},{"code":"spreadsheets","name":"Spreadsheets"}],"requirements":"Comfortable with spreadsheet formulas and removing duplicates.","location":null,"work_mode":"remote","start_date":"2026-11-10","end_date":"2026-11-24","expected_hours":12.0,"compensation_type":"stipend","compensation_amount":150.0,"compensation_details":"Stipend paid at completion.","applicant_limit":1,"application_deadline":"2026-11-05T23:59:59Z","working_conditions":"Fully remote, self-paced.","safety_information":"Remote work; take regular screen breaks.","accessibility_details":"Remote; any assistive technology you already use is fine.","published_at":"2026-10-05T16:00:00Z","created_at":"2026-10-05T15:00:00Z","updated_at":"2026-10-28T06:03:01Z"},{"opportunity_id":1,"title":"Digitize paper recipe archive","description":"Scan and transcribe about 300 handwritten recipe cards into a structured spreadsheet.","status":"open","category":{"code":"knowled… [truncated]</x:v>
      </x:c>
      <x:c r="K135" s="89" t="str"/>
    </x:row>
    <x:row r="136" ht="35" customHeight="1">
      <x:c r="A136" s="89" t="str">
        <x:v>OPP-LIST-011</x:v>
      </x:c>
      <x:c r="B136" s="89" t="str">
        <x:v>Browse Opportunities</x:v>
      </x:c>
      <x:c r="C136" s="89" t="str">
        <x:v>Passed</x:v>
      </x:c>
      <x:c r="D136" s="89" t="n">
        <x:v>2</x:v>
      </x:c>
      <x:c r="E136" s="89" t="str">
        <x:v>GET</x:v>
      </x:c>
      <x:c r="F136" s="89" t="str">
        <x:v>/api/v1/opportunities</x:v>
      </x:c>
      <x:c r="G136" s="90" t="str">
        <x:v>{"q":"SPREAD"}</x:v>
      </x:c>
      <x:c r="H136" s="90" t="str">
        <x:v>null</x:v>
      </x:c>
      <x:c r="I136" s="90" t="n">
        <x:v>200</x:v>
      </x:c>
      <x:c r="J136" s="90" t="str">
        <x:v>{"items":[{"opportunity_id":2,"title":"Inventory spreadsheet cleanup","description":"Merge three years of supplier spreadsheets into one clean inventory sheet.","status":"open","category":{"code":"knowledge","name":"Knowledge-based","description":"Digital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Bakery","organization_type":"small_business","city":"Calgary"},"skills":[{"code":"data-cleaning","name":"Data cleaning"},{"code":"inventory","name":"Inventory management"},{"code":"spreadsheets","name":"Spreadsheets"}],"requirements":"Comfortable with spreadsheet formulas and removing duplicates.","location":null,"work_mode":"remote","start_date":"2026-11-10","end_date":"2026-11-24","expected_hours":12.0,"compensation_type":"stipend","compensation_amount":150.0,"compensation_details":"Stipend paid at completion.","applicant_limit":1,"application_deadline":"2026-11-05T23:59:59Z","working_conditions":"Fully remote, self-paced.","safety_information":"Remote work; take regular screen breaks.","accessibility_details":"Remote; any assistive technology you already use is fine.","published_at":"2026-10-05T16:00:00Z","created_at":"2026-10-05T15:00:00Z","updated_at":"2026-10-28T06:03:01Z"},{"opportunity_id":1,"title":"Digitize paper recipe archive","description":"Scan and transcribe about 300 handwritten recipe cards into a structured spreadsheet.","status":"open","category":{"code":"knowled… [truncated]</x:v>
      </x:c>
      <x:c r="K136" s="89" t="str"/>
    </x:row>
    <x:row r="137" ht="35" customHeight="1">
      <x:c r="A137" s="89" t="str">
        <x:v>OPP-LIST-011</x:v>
      </x:c>
      <x:c r="B137" s="89" t="str">
        <x:v>Browse Opportunities</x:v>
      </x:c>
      <x:c r="C137" s="89" t="str">
        <x:v>Passed</x:v>
      </x:c>
      <x:c r="D137" s="89" t="n">
        <x:v>3</x:v>
      </x:c>
      <x:c r="E137" s="89" t="str">
        <x:v>GET</x:v>
      </x:c>
      <x:c r="F137" s="89" t="str">
        <x:v>/api/v1/opportunities</x:v>
      </x:c>
      <x:c r="G137" s="90" t="str">
        <x:v>{"q":"spread"}</x:v>
      </x:c>
      <x:c r="H137" s="90" t="str">
        <x:v>null</x:v>
      </x:c>
      <x:c r="I137" s="90" t="n">
        <x:v>200</x:v>
      </x:c>
      <x:c r="J137" s="90" t="str">
        <x:v>{"items":[{"opportunity_id":2,"title":"Inventory spreadsheet cleanup","description":"Merge three years of supplier spreadsheets into one clean inventory sheet.","status":"open","category":{"code":"knowledge","name":"Knowledge-based","description":"Digital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Bakery","organization_type":"small_business","city":"Calgary"},"skills":[{"code":"data-cleaning","name":"Data cleaning"},{"code":"inventory","name":"Inventory management"},{"code":"spreadsheets","name":"Spreadsheets"}],"requirements":"Comfortable with spreadsheet formulas and removing duplicates.","location":null,"work_mode":"remote","start_date":"2026-11-10","end_date":"2026-11-24","expected_hours":12.0,"compensation_type":"stipend","compensation_amount":150.0,"compensation_details":"Stipend paid at completion.","applicant_limit":1,"application_deadline":"2026-11-05T23:59:59Z","working_conditions":"Fully remote, self-paced.","safety_information":"Remote work; take regular screen breaks.","accessibility_details":"Remote; any assistive technology you already use is fine.","published_at":"2026-10-05T16:00:00Z","created_at":"2026-10-05T15:00:00Z","updated_at":"2026-10-28T06:03:01Z"},{"opportunity_id":1,"title":"Digitize paper recipe archive","description":"Scan and transcribe about 300 handwritten recipe cards into a structured spreadsheet.","status":"open","category":{"code":"knowled… [truncated]</x:v>
      </x:c>
      <x:c r="K137" s="89" t="str">
        <x:v>Case duration 213 ms</x:v>
      </x:c>
    </x:row>
    <x:row r="138" ht="35" customHeight="1">
      <x:c r="A138" s="89" t="str">
        <x:v>OPP-LIST-012</x:v>
      </x:c>
      <x:c r="B138" s="89" t="str">
        <x:v>Browse Opportunities</x:v>
      </x:c>
      <x:c r="C138" s="89" t="str">
        <x:v>Passed</x:v>
      </x:c>
      <x:c r="D138" s="89" t="n">
        <x:v>1</x:v>
      </x:c>
      <x:c r="E138" s="89" t="str">
        <x:v>GET</x:v>
      </x:c>
      <x:c r="F138" s="89" t="str">
        <x:v>/api/v1/opportunities</x:v>
      </x:c>
      <x:c r="G138" s="90" t="str">
        <x:v>{"q":"%"}</x:v>
      </x:c>
      <x:c r="H138" s="90" t="str">
        <x:v>null</x:v>
      </x:c>
      <x:c r="I138" s="90" t="n">
        <x:v>200</x:v>
      </x:c>
      <x:c r="J138" s="90" t="str">
        <x:v>{"items":[],"total":0,"limit":20,"offset":0}</x:v>
      </x:c>
      <x:c r="K138" s="89" t="str">
        <x:v>Case duration 160 ms</x:v>
      </x:c>
    </x:row>
    <x:row r="139" ht="35" customHeight="1">
      <x:c r="A139" s="89" t="str">
        <x:v>OPP-LIST-013</x:v>
      </x:c>
      <x:c r="B139" s="89" t="str">
        <x:v>Browse Opportunities</x:v>
      </x:c>
      <x:c r="C139" s="89" t="str">
        <x:v>Passed</x:v>
      </x:c>
      <x:c r="D139" s="89" t="n">
        <x:v>1</x:v>
      </x:c>
      <x:c r="E139" s="89" t="str">
        <x:v>GET</x:v>
      </x:c>
      <x:c r="F139" s="89" t="str">
        <x:v>/api/v1/opportunities</x:v>
      </x:c>
      <x:c r="G139" s="90" t="str">
        <x:v>{"q":"_"}</x:v>
      </x:c>
      <x:c r="H139" s="90" t="str">
        <x:v>null</x:v>
      </x:c>
      <x:c r="I139" s="90" t="n">
        <x:v>200</x:v>
      </x:c>
      <x:c r="J139" s="90" t="str">
        <x:v>{"items":[],"total":0,"limit":20,"offset":0}</x:v>
      </x:c>
      <x:c r="K139" s="89" t="str">
        <x:v>Case duration 167 ms</x:v>
      </x:c>
    </x:row>
    <x:row r="140" ht="35" customHeight="1">
      <x:c r="A140" s="89" t="str">
        <x:v>OPP-LIST-014</x:v>
      </x:c>
      <x:c r="B140" s="89" t="str">
        <x:v>Browse Opportunities</x:v>
      </x:c>
      <x:c r="C140" s="89" t="str">
        <x:v>Passed</x:v>
      </x:c>
      <x:c r="D140" s="89" t="n">
        <x:v>1</x:v>
      </x:c>
      <x:c r="E140" s="89" t="str">
        <x:v>GET</x:v>
      </x:c>
      <x:c r="F140" s="89" t="str">
        <x:v>/api/v1/opportunities</x:v>
      </x:c>
      <x:c r="G140" s="90" t="str">
        <x:v>{"category":"knowledge"}</x:v>
      </x:c>
      <x:c r="H140" s="90" t="str">
        <x:v>null</x:v>
      </x:c>
      <x:c r="I140" s="90" t="n">
        <x:v>200</x:v>
      </x:c>
      <x:c r="J140" s="90" t="str">
        <x:v>{"items":[{"opportunity_id":2,"title":"Inventory spreadsheet cleanup","description":"Merge three years of supplier spreadsheets into one clean inventory sheet.","status":"open","category":{"code":"knowledge","name":"Knowledge-based","description":"Digital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Bakery","organization_type":"small_business","city":"Calgary"},"skills":[{"code":"data-cleaning","name":"Data cleaning"},{"code":"inventory","name":"Inventory management"},{"code":"spreadsheets","name":"Spreadsheets"}],"requirements":"Comfortable with spreadsheet formulas and removing duplicates.","location":null,"work_mode":"remote","start_date":"2026-11-10","end_date":"2026-11-24","expected_hours":12.0,"compensation_type":"stipend","compensation_amount":150.0,"compensation_details":"Stipend paid at completion.","applicant_limit":1,"application_deadline":"2026-11-05T23:59:59Z","working_conditions":"Fully remote, self-paced.","safety_information":"Remote work; take regular screen breaks.","accessibility_details":"Remote; any assistive technology you already use is fine.","published_at":"2026-10-05T16:00:00Z","created_at":"2026-10-05T15:00:00Z","updated_at":"2026-10-28T06:03:02Z"},{"opportunity_id":3,"title":"Social media content calendar for the holiday season","description":"Plan and draft six weeks of Instagram posts, including product photos.","status":"open","category":{"code":… [truncated]</x:v>
      </x:c>
      <x:c r="K140" s="89" t="str">
        <x:v>Case duration 176 ms</x:v>
      </x:c>
    </x:row>
    <x:row r="141" ht="35" customHeight="1">
      <x:c r="A141" s="89" t="str">
        <x:v>OPP-LIST-015</x:v>
      </x:c>
      <x:c r="B141" s="89" t="str">
        <x:v>Browse Opportunities</x:v>
      </x:c>
      <x:c r="C141" s="89" t="str">
        <x:v>Passed</x:v>
      </x:c>
      <x:c r="D141" s="89" t="n">
        <x:v>1</x:v>
      </x:c>
      <x:c r="E141" s="89" t="str">
        <x:v>GET</x:v>
      </x:c>
      <x:c r="F141" s="89" t="str">
        <x:v>/api/v1/opportunities</x:v>
      </x:c>
      <x:c r="G141" s="90" t="str">
        <x:v>{"category":"not-a-category"}</x:v>
      </x:c>
      <x:c r="H141" s="90" t="str">
        <x:v>null</x:v>
      </x:c>
      <x:c r="I141" s="90" t="n">
        <x:v>200</x:v>
      </x:c>
      <x:c r="J141" s="90" t="str">
        <x:v>{"items":[],"total":0,"limit":20,"offset":0}</x:v>
      </x:c>
      <x:c r="K141" s="89" t="str">
        <x:v>Case duration 163 ms</x:v>
      </x:c>
    </x:row>
    <x:row r="142" ht="35" customHeight="1">
      <x:c r="A142" s="89" t="str">
        <x:v>OPP-LIST-016</x:v>
      </x:c>
      <x:c r="B142" s="89" t="str">
        <x:v>Browse Opportunities</x:v>
      </x:c>
      <x:c r="C142" s="89" t="str">
        <x:v>Passed</x:v>
      </x:c>
      <x:c r="D142" s="89" t="n">
        <x:v>1</x:v>
      </x:c>
      <x:c r="E142" s="89" t="str">
        <x:v>GET</x:v>
      </x:c>
      <x:c r="F142" s="89" t="str">
        <x:v>/api/v1/opportunities</x:v>
      </x:c>
      <x:c r="G142" s="90" t="str">
        <x:v>{"skill":["inventory"]}</x:v>
      </x:c>
      <x:c r="H142" s="90" t="str">
        <x:v>null</x:v>
      </x:c>
      <x:c r="I142" s="90" t="n">
        <x:v>200</x:v>
      </x:c>
      <x:c r="J142" s="90" t="str">
        <x:v>{"items":[{"opportunity_id":2,"title":"Inventory spreadsheet cleanup","description":"Merge three years of supplier spreadsheets into one clean inventory sheet.","status":"open","category":{"code":"knowledge","name":"Knowledge-based","description":"Digital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Bakery","organization_type":"small_business","city":"Calgary"},"skills":[{"code":"data-cleaning","name":"Data cleaning"},{"code":"inventory","name":"Inventory management"},{"code":"spreadsheets","name":"Spreadsheets"}],"requirements":"Comfortable with spreadsheet formulas and removing duplicates.","location":null,"work_mode":"remote","start_date":"2026-11-10","end_date":"2026-11-24","expected_hours":12.0,"compensation_type":"stipend","compensation_amount":150.0,"compensation_details":"Stipend paid at completion.","applicant_limit":1,"application_deadline":"2026-11-05T23:59:59Z","working_conditions":"Fully remote, self-paced.","safety_information":"Remote work; take regular screen breaks.","accessibility_details":"Remote; any assistive technology you already use is fine.","published_at":"2026-10-05T16:00:00Z","created_at":"2026-10-05T15:00:00Z","updated_at":"2026-10-28T06:03:02Z"},{"opportunity_id":5,"title":"Weekend food hamper packing","description":"Pack and label food hampers for families on Saturday mornings.","status":"open","category":{"code":"community","name":"Community","d… [truncated]</x:v>
      </x:c>
      <x:c r="K142" s="89" t="str">
        <x:v>Case duration 177 ms</x:v>
      </x:c>
    </x:row>
    <x:row r="143" ht="35" customHeight="1">
      <x:c r="A143" s="89" t="str">
        <x:v>OPP-LIST-017</x:v>
      </x:c>
      <x:c r="B143" s="89" t="str">
        <x:v>Browse Opportunities</x:v>
      </x:c>
      <x:c r="C143" s="89" t="str">
        <x:v>Passed</x:v>
      </x:c>
      <x:c r="D143" s="89" t="n">
        <x:v>1</x:v>
      </x:c>
      <x:c r="E143" s="89" t="str">
        <x:v>GET</x:v>
      </x:c>
      <x:c r="F143" s="89" t="str">
        <x:v>/api/v1/opportunities</x:v>
      </x:c>
      <x:c r="G143" s="90" t="str">
        <x:v>[["skill","photography"],["skill","translation"]]</x:v>
      </x:c>
      <x:c r="H143" s="90" t="str">
        <x:v>null</x:v>
      </x:c>
      <x:c r="I143" s="90" t="n">
        <x:v>200</x:v>
      </x:c>
      <x:c r="J143" s="90" t="str">
        <x:v>{"items":[{"opportunity_id":12,"title":"Event photographer for community fun run","description":"Photograph the start, finish and award ceremony of a 5 km community run.","status":"open","category":{"code":"community","name":"Community","description":"Physical tasks, community activities and event-based support."},"organization":{"organization_id":3,"name":"YYC Neighbourhood Events","organization_type":"event_organizer","city":"Calgary"},"skills":[{"code":"photography","name":"Photography"}],"requirements":"Own camera; portfolio link.","location":"Edworthy Park, Calgary","work_mode":"on_site","start_date":"2026-11-15","end_date":"2026-11-15","expected_hours":5.0,"compensation_type":"stipend","compensation_amount":100.0,"compensation_details":"Stipend paid after photos are delivered.","applicant_limit":2,"application_deadline":"2026-11-08T23:59:59Z","working_conditions":"One morning outdoors.","safety_information":"Stay off the running course; marshals will guide you.","accessibility_details":"Finish-line area is step-free.","published_at":"2026-10-09T16:00:00Z","created_at":"2026-10-09T15:00:00Z","updated_at":"2026-10-28T06:03:02Z"},{"opportunity_id":3,"title":"Social media content calendar for the holiday season","description":"Plan and draft six weeks of Instagram posts, including product photos.","status":"open","category":{"code":"knowledge","name":"Knowledge-based","description":"Digital support, data organization, record digitization and similar task… [truncated]</x:v>
      </x:c>
      <x:c r="K143" s="89" t="str">
        <x:v>Case duration 158 ms</x:v>
      </x:c>
    </x:row>
    <x:row r="144" ht="35" customHeight="1">
      <x:c r="A144" s="89" t="str">
        <x:v>OPP-LIST-018</x:v>
      </x:c>
      <x:c r="B144" s="89" t="str">
        <x:v>Browse Opportunities</x:v>
      </x:c>
      <x:c r="C144" s="89" t="str">
        <x:v>Passed</x:v>
      </x:c>
      <x:c r="D144" s="89" t="n">
        <x:v>1</x:v>
      </x:c>
      <x:c r="E144" s="89" t="str">
        <x:v>GET</x:v>
      </x:c>
      <x:c r="F144" s="89" t="str">
        <x:v>/api/v1/opportunities</x:v>
      </x:c>
      <x:c r="G144" s="90" t="str">
        <x:v>[["skill","photography"],["skill","photography"]]</x:v>
      </x:c>
      <x:c r="H144" s="90" t="str">
        <x:v>null</x:v>
      </x:c>
      <x:c r="I144" s="90" t="n">
        <x:v>200</x:v>
      </x:c>
      <x:c r="J144" s="90" t="str">
        <x:v>{"items":[{"opportunity_id":12,"title":"Event photographer for community fun run","description":"Photograph the start, finish and award ceremony of a 5 km community run.","status":"open","category":{"code":"community","name":"Community","description":"Physical tasks, community activities and event-based support."},"organization":{"organization_id":3,"name":"YYC Neighbourhood Events","organization_type":"event_organizer","city":"Calgary"},"skills":[{"code":"photography","name":"Photography"}],"requirements":"Own camera; portfolio link.","location":"Edworthy Park, Calgary","work_mode":"on_site","start_date":"2026-11-15","end_date":"2026-11-15","expected_hours":5.0,"compensation_type":"stipend","compensation_amount":100.0,"compensation_details":"Stipend paid after photos are delivered.","applicant_limit":2,"application_deadline":"2026-11-08T23:59:59Z","working_conditions":"One morning outdoors.","safety_information":"Stay off the running course; marshals will guide you.","accessibility_details":"Finish-line area is step-free.","published_at":"2026-10-09T16:00:00Z","created_at":"2026-10-09T15:00:00Z","updated_at":"2026-10-28T06:03:02Z"},{"opportunity_id":3,"title":"Social media content calendar for the holiday season","description":"Plan and draft six weeks of Instagram posts, including product photos.","status":"open","category":{"code":"knowledge","name":"Knowledge-based","description":"Digital support, data organization, record digitization and similar task… [truncated]</x:v>
      </x:c>
      <x:c r="K144" s="89" t="str"/>
    </x:row>
    <x:row r="145" ht="35" customHeight="1">
      <x:c r="A145" s="89" t="str">
        <x:v>OPP-LIST-018</x:v>
      </x:c>
      <x:c r="B145" s="89" t="str">
        <x:v>Browse Opportunities</x:v>
      </x:c>
      <x:c r="C145" s="89" t="str">
        <x:v>Passed</x:v>
      </x:c>
      <x:c r="D145" s="89" t="n">
        <x:v>2</x:v>
      </x:c>
      <x:c r="E145" s="89" t="str">
        <x:v>GET</x:v>
      </x:c>
      <x:c r="F145" s="89" t="str">
        <x:v>/api/v1/opportunities</x:v>
      </x:c>
      <x:c r="G145" s="90" t="str">
        <x:v>{"skill":"photography"}</x:v>
      </x:c>
      <x:c r="H145" s="90" t="str">
        <x:v>null</x:v>
      </x:c>
      <x:c r="I145" s="90" t="n">
        <x:v>200</x:v>
      </x:c>
      <x:c r="J145" s="90" t="str">
        <x:v>{"items":[{"opportunity_id":12,"title":"Event photographer for community fun run","description":"Photograph the start, finish and award ceremony of a 5 km community run.","status":"open","category":{"code":"community","name":"Community","description":"Physical tasks, community activities and event-based support."},"organization":{"organization_id":3,"name":"YYC Neighbourhood Events","organization_type":"event_organizer","city":"Calgary"},"skills":[{"code":"photography","name":"Photography"}],"requirements":"Own camera; portfolio link.","location":"Edworthy Park, Calgary","work_mode":"on_site","start_date":"2026-11-15","end_date":"2026-11-15","expected_hours":5.0,"compensation_type":"stipend","compensation_amount":100.0,"compensation_details":"Stipend paid after photos are delivered.","applicant_limit":2,"application_deadline":"2026-11-08T23:59:59Z","working_conditions":"One morning outdoors.","safety_information":"Stay off the running course; marshals will guide you.","accessibility_details":"Finish-line area is step-free.","published_at":"2026-10-09T16:00:00Z","created_at":"2026-10-09T15:00:00Z","updated_at":"2026-10-28T06:03:02Z"},{"opportunity_id":3,"title":"Social media content calendar for the holiday season","description":"Plan and draft six weeks of Instagram posts, including product photos.","status":"open","category":{"code":"knowledge","name":"Knowledge-based","description":"Digital support, data organization, record digitization and similar task… [truncated]</x:v>
      </x:c>
      <x:c r="K145" s="89" t="str">
        <x:v>Case duration 174 ms</x:v>
      </x:c>
    </x:row>
    <x:row r="146" ht="35" customHeight="1">
      <x:c r="A146" s="89" t="str">
        <x:v>OPP-LIST-019</x:v>
      </x:c>
      <x:c r="B146" s="89" t="str">
        <x:v>Browse Opportunities</x:v>
      </x:c>
      <x:c r="C146" s="89" t="str">
        <x:v>Passed</x:v>
      </x:c>
      <x:c r="D146" s="89" t="n">
        <x:v>1</x:v>
      </x:c>
      <x:c r="E146" s="89" t="str">
        <x:v>GET</x:v>
      </x:c>
      <x:c r="F146" s="89" t="str">
        <x:v>/api/v1/opportunities</x:v>
      </x:c>
      <x:c r="G146" s="90" t="str">
        <x:v>{"skill":"this-is-not-a-skill"}</x:v>
      </x:c>
      <x:c r="H146" s="90" t="str">
        <x:v>null</x:v>
      </x:c>
      <x:c r="I146" s="90" t="n">
        <x:v>200</x:v>
      </x:c>
      <x:c r="J146" s="90" t="str">
        <x:v>{"items":[],"total":0,"limit":20,"offset":0}</x:v>
      </x:c>
      <x:c r="K146" s="89" t="str">
        <x:v>Case duration 155 ms</x:v>
      </x:c>
    </x:row>
    <x:row r="147" ht="35" customHeight="1">
      <x:c r="A147" s="89" t="str">
        <x:v>OPP-LIST-020</x:v>
      </x:c>
      <x:c r="B147" s="89" t="str">
        <x:v>Browse Opportunities</x:v>
      </x:c>
      <x:c r="C147" s="89" t="str">
        <x:v>Passed</x:v>
      </x:c>
      <x:c r="D147" s="89" t="n">
        <x:v>1</x:v>
      </x:c>
      <x:c r="E147" s="89" t="str">
        <x:v>GET</x:v>
      </x:c>
      <x:c r="F147" s="89" t="str">
        <x:v>/api/v1/opportunities</x:v>
      </x:c>
      <x:c r="G147" s="90" t="str">
        <x:v>{"work_mode":"remote"}</x:v>
      </x:c>
      <x:c r="H147" s="90" t="str">
        <x:v>null</x:v>
      </x:c>
      <x:c r="I147" s="90" t="n">
        <x:v>200</x:v>
      </x:c>
      <x:c r="J147" s="90" t="str">
        <x:v>{"items":[{"opportunity_id":2,"title":"Inventory spreadsheet cleanup","description":"Merge three years of supplier spreadsheets into one clean inventory sheet.","status":"open","category":{"code":"knowledge","name":"Knowledge-based","description":"Digital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Bakery","organization_type":"small_business","city":"Calgary"},"skills":[{"code":"data-cleaning","name":"Data cleaning"},{"code":"inventory","name":"Inventory management"},{"code":"spreadsheets","name":"Spreadsheets"}],"requirements":"Comfortable with spreadsheet formulas and removing duplicates.","location":null,"work_mode":"remote","start_date":"2026-11-10","end_date":"2026-11-24","expected_hours":12.0,"compensation_type":"stipend","compensation_amount":150.0,"compensation_details":"Stipend paid at completion.","applicant_limit":1,"application_deadline":"2026-11-05T23:59:59Z","working_conditions":"Fully remote, self-paced.","safety_information":"Remote work; take regular screen breaks.","accessibility_details":"Remote; any assistive technology you already use is fine.","published_at":"2026-10-05T16:00:00Z","created_at":"2026-10-05T15:00:00Z","updated_at":"2026-10-28T06:03:03Z"},{"opportunity_id":6,"title":"Donor database deduplication","description":"Find and merge duplicate donor records in our CRM export before year-end receipts.","status":"open","category":{"code":"knowledge",… [truncated]</x:v>
      </x:c>
      <x:c r="K147" s="89" t="str">
        <x:v>Case duration 151 ms</x:v>
      </x:c>
    </x:row>
    <x:row r="148" ht="35" customHeight="1">
      <x:c r="A148" s="89" t="str">
        <x:v>OPP-LIST-021</x:v>
      </x:c>
      <x:c r="B148" s="89" t="str">
        <x:v>Browse Opportunities</x:v>
      </x:c>
      <x:c r="C148" s="89" t="str">
        <x:v>Passed</x:v>
      </x:c>
      <x:c r="D148" s="89" t="n">
        <x:v>1</x:v>
      </x:c>
      <x:c r="E148" s="89" t="str">
        <x:v>GET</x:v>
      </x:c>
      <x:c r="F148" s="89" t="str">
        <x:v>/api/v1/opportunities</x:v>
      </x:c>
      <x:c r="G148" s="90" t="str">
        <x:v>{"work_mode":"on_site"}</x:v>
      </x:c>
      <x:c r="H148" s="90" t="str">
        <x:v>null</x:v>
      </x:c>
      <x:c r="I148" s="90" t="n">
        <x:v>200</x:v>
      </x:c>
      <x:c r="J148" s="90" t="str">
        <x:v>{"items":[{"opportunity_id":12,"title":"Event photographer for community fun run","description":"Photograph the start, finish and award ceremony of a 5 km community run.","status":"open","category":{"code":"community","name":"Community","description":"Physical tasks, community activities and event-based support."},"organization":{"organization_id":3,"name":"YYC Neighbourhood Events","organization_type":"event_organizer","city":"Calgary"},"skills":[{"code":"photography","name":"Photography"}],"requirements":"Own camera; portfolio link.","location":"Edworthy Park, Calgary","work_mode":"on_site","start_date":"2026-11-15","end_date":"2026-11-15","expected_hours":5.0,"compensation_type":"stipend","compensation_amount":100.0,"compensation_details":"Stipend paid after photos are delivered.","applicant_limit":2,"application_deadline":"2026-11-08T23:59:59Z","working_conditions":"One morning outdoors.","safety_information":"Stay off the running course; marshals will guide you.","accessibility_details":"Finish-line area is step-free.","published_at":"2026-10-09T16:00:00Z","created_at":"2026-10-09T15:00:00Z","updated_at":"2026-10-28T06:03:03Z"},{"opportunity_id":5,"title":"Weekend food hamper packing","description":"Pack and label food hampers for families on Saturday mornings.","status":"open","category":{"code":"community","name":"Community","description":"Physical tasks, community activities and event-based support."},"organization":{"organization_id":2,"name":"Bow… [truncated]</x:v>
      </x:c>
      <x:c r="K148" s="89" t="str">
        <x:v>Case duration 177 ms</x:v>
      </x:c>
    </x:row>
    <x:row r="149" ht="35" customHeight="1">
      <x:c r="A149" s="89" t="str">
        <x:v>OPP-LIST-022</x:v>
      </x:c>
      <x:c r="B149" s="89" t="str">
        <x:v>Browse Opportunities</x:v>
      </x:c>
      <x:c r="C149" s="89" t="str">
        <x:v>Passed</x:v>
      </x:c>
      <x:c r="D149" s="89" t="n">
        <x:v>1</x:v>
      </x:c>
      <x:c r="E149" s="89" t="str">
        <x:v>GET</x:v>
      </x:c>
      <x:c r="F149" s="89" t="str">
        <x:v>/api/v1/opportunities</x:v>
      </x:c>
      <x:c r="G149" s="90" t="str">
        <x:v>{"work_mode":"hybrid"}</x:v>
      </x:c>
      <x:c r="H149" s="90" t="str">
        <x:v>null</x:v>
      </x:c>
      <x:c r="I149" s="90" t="n">
        <x:v>200</x:v>
      </x:c>
      <x:c r="J149" s="90" t="str">
        <x:v>{"items":[{"opportunity_id":3,"title":"Social media content calendar for the holiday season","description":"Plan and draft six weeks of Instagram posts, including product photos.","status":"open","category":{"code":"knowledge","name":"Knowledge-based","description":"Digital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Bakery","organization_type":"small_business","city":"Calgary"},"skills":[{"code":"graphic-design","name":"Graphic design"},{"code":"photography","name":"Photography"},{"code":"social-media","name":"Social media"}],"requirements":"Portfolio or examples of previous social media work.","location":"Calgary (Kensington)","work_mode":"hybrid","start_date":"2026-11-16","end_date":"2026-12-20","expected_hours":15.0,"compensation_type":"paid","compensation_amount":300.0,"compensation_details":"Paid in two instalments.","applicant_limit":2,"application_deadline":"2026-11-12T23:59:59Z","working_conditions":"Two short photo sessions in the bakery; the rest remote.","safety_information":"Kitchen areas are hot; stay behind the counter line during photo sessions.","accessibility_details":"Step-free entrance; photo sessions can be scheduled around your needs.","published_at":"2026-10-08T17:00:00Z","created_at":"2026-10-08T16:00:00Z","updated_at":"2026-10-28T06:03:03Z"},{"opportunity_id":1,"title":"Digitize paper recipe archive","description":"Scan and transcribe about 300 handwr… [truncated]</x:v>
      </x:c>
      <x:c r="K149" s="89" t="str">
        <x:v>Case duration 202 ms</x:v>
      </x:c>
    </x:row>
    <x:row r="150" ht="35" customHeight="1">
      <x:c r="A150" s="89" t="str">
        <x:v>OPP-LIST-023</x:v>
      </x:c>
      <x:c r="B150" s="89" t="str">
        <x:v>Browse Opportunities</x:v>
      </x:c>
      <x:c r="C150" s="89" t="str">
        <x:v>Passed</x:v>
      </x:c>
      <x:c r="D150" s="89" t="n">
        <x:v>1</x:v>
      </x:c>
      <x:c r="E150" s="89" t="str">
        <x:v>GET</x:v>
      </x:c>
      <x:c r="F150" s="89" t="str">
        <x:v>/api/v1/opportunities</x:v>
      </x:c>
      <x:c r="G150" s="90" t="str">
        <x:v>{"compensation_type":"paid"}</x:v>
      </x:c>
      <x:c r="H150" s="90" t="str">
        <x:v>null</x:v>
      </x:c>
      <x:c r="I150" s="90" t="n">
        <x:v>200</x:v>
      </x:c>
      <x:c r="J150" s="90" t="str">
        <x:v>{"items":[{"opportunity_id":3,"title":"Social media content calendar for the holiday season","description":"Plan and draft six weeks of Instagram posts, including product photos.","status":"open","category":{"code":"knowledge","name":"Knowledge-based","description":"Digital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Bakery","organization_type":"small_business","city":"Calgary"},"skills":[{"code":"graphic-design","name":"Graphic design"},{"code":"photography","name":"Photography"},{"code":"social-media","name":"Social media"}],"requirements":"Portfolio or examples of previous social media work.","location":"Calgary (Kensington)","work_mode":"hybrid","start_date":"2026-11-16","end_date":"2026-12-20","expected_hours":15.0,"compensation_type":"paid","compensation_amount":300.0,"compensation_details":"Paid in two instalments.","applicant_limit":2,"application_deadline":"2026-11-12T23:59:59Z","working_conditions":"Two short photo sessions in the bakery; the rest remote.","safety_information":"Kitchen areas are hot; stay behind the counter line during photo sessions.","accessibility_details":"Step-free entrance; photo sessions can be scheduled around your needs.","published_at":"2026-10-08T17:00:00Z","created_at":"2026-10-08T16:00:00Z","updated_at":"2026-10-28T06:03:03Z"},{"opportunity_id":1,"title":"Digitize paper recipe archive","description":"Scan and transcribe about 300 handwr… [truncated]</x:v>
      </x:c>
      <x:c r="K150" s="89" t="str"/>
    </x:row>
    <x:row r="151" ht="35" customHeight="1">
      <x:c r="A151" s="89" t="str">
        <x:v>OPP-LIST-023</x:v>
      </x:c>
      <x:c r="B151" s="89" t="str">
        <x:v>Browse Opportunities</x:v>
      </x:c>
      <x:c r="C151" s="89" t="str">
        <x:v>Passed</x:v>
      </x:c>
      <x:c r="D151" s="89" t="n">
        <x:v>2</x:v>
      </x:c>
      <x:c r="E151" s="89" t="str">
        <x:v>GET</x:v>
      </x:c>
      <x:c r="F151" s="89" t="str">
        <x:v>/api/v1/opportunities</x:v>
      </x:c>
      <x:c r="G151" s="90" t="str">
        <x:v>{"compensation_type":"stipend"}</x:v>
      </x:c>
      <x:c r="H151" s="90" t="str">
        <x:v>null</x:v>
      </x:c>
      <x:c r="I151" s="90" t="n">
        <x:v>200</x:v>
      </x:c>
      <x:c r="J151" s="90" t="str">
        <x:v>{"items":[{"opportunity_id":2,"title":"Inventory spreadsheet cleanup","description":"Merge three years of supplier spreadsheets into one clean inventory sheet.","status":"open","category":{"code":"knowledge","name":"Knowledge-based","description":"Digital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Bakery","organization_type":"small_business","city":"Calgary"},"skills":[{"code":"data-cleaning","name":"Data cleaning"},{"code":"inventory","name":"Inventory management"},{"code":"spreadsheets","name":"Spreadsheets"}],"requirements":"Comfortable with spreadsheet formulas and removing duplicates.","location":null,"work_mode":"remote","start_date":"2026-11-10","end_date":"2026-11-24","expected_hours":12.0,"compensation_type":"stipend","compensation_amount":150.0,"compensation_details":"Stipend paid at completion.","applicant_limit":1,"application_deadline":"2026-11-05T23:59:59Z","working_conditions":"Fully remote, self-paced.","safety_information":"Remote work; take regular screen breaks.","accessibility_details":"Remote; any assistive technology you already use is fine.","published_at":"2026-10-05T16:00:00Z","created_at":"2026-10-05T15:00:00Z","updated_at":"2026-10-28T06:03:03Z"},{"opportunity_id":12,"title":"Event photographer for community fun run","description":"Photograph the start, finish and award ceremony of a 5 km community run.","status":"open","category":{"code":"communit… [truncated]</x:v>
      </x:c>
      <x:c r="K151" s="89" t="str"/>
    </x:row>
    <x:row r="152" ht="35" customHeight="1">
      <x:c r="A152" s="89" t="str">
        <x:v>OPP-LIST-023</x:v>
      </x:c>
      <x:c r="B152" s="89" t="str">
        <x:v>Browse Opportunities</x:v>
      </x:c>
      <x:c r="C152" s="89" t="str">
        <x:v>Passed</x:v>
      </x:c>
      <x:c r="D152" s="89" t="n">
        <x:v>3</x:v>
      </x:c>
      <x:c r="E152" s="89" t="str">
        <x:v>GET</x:v>
      </x:c>
      <x:c r="F152" s="89" t="str">
        <x:v>/api/v1/opportunities</x:v>
      </x:c>
      <x:c r="G152" s="90" t="str">
        <x:v>{"compensation_type":"unpaid"}</x:v>
      </x:c>
      <x:c r="H152" s="90" t="str">
        <x:v>null</x:v>
      </x:c>
      <x:c r="I152" s="90" t="n">
        <x:v>200</x:v>
      </x:c>
      <x:c r="J152" s="90" t="str">
        <x:v>{"items":[{"opportunity_id":5,"title":"Weekend food hamper packing","description":"Pack and label food hampers for families on Saturday mornings.","status":"open","category":{"code":"community","name":"Community","description":"Physical tasks, community activities and event-based support."},"organization":{"organization_id":2,"name":"Bow River Community Food Bank","organization_type":"nonprofit","city":"Calgary"},"skills":[{"code":"food-handling","name":"Food handling"},{"code":"inventory","name":"Inventory management"}],"requirements":"Able to lift boxes up to 10 kg (lighter tasks available).","location":"Calgary (Marlborough)","work_mode":"on_site","start_date":"2026-12-01","end_date":"2027-01-31","expected_hours":24.0,"compensation_type":"unpaid","compensation_amount":null,"compensation_details":"Volunteer role; verified hours count toward your GROW8 record.","applicant_limit":10,"application_deadline":"2026-11-30T23:59:59Z","working_conditions":"Saturday 9:00-12:00 shifts in the warehouse.","safety_information":"Closed-toe shoes required; lifting training on the first shift.","accessibility_details":"Ground-floor warehouse; seated labelling tasks available.","published_at":"2026-09-20T14:00:00Z","created_at":"2026-09-20T13:00:00Z","updated_at":"2026-10-28T06:03:03Z"},{"opportunity_id":13,"title":"New Year's Eve family event greeters","description":"Welcome families, hand out wristbands and answer questions at the NYE family event.","status":"open","cat… [truncated]</x:v>
      </x:c>
      <x:c r="K152" s="89" t="str">
        <x:v>Case duration 235 ms</x:v>
      </x:c>
    </x:row>
    <x:row r="153" ht="35" customHeight="1">
      <x:c r="A153" s="89" t="str">
        <x:v>OPP-LIST-024</x:v>
      </x:c>
      <x:c r="B153" s="89" t="str">
        <x:v>Browse Opportunities</x:v>
      </x:c>
      <x:c r="C153" s="89" t="str">
        <x:v>Passed</x:v>
      </x:c>
      <x:c r="D153" s="89" t="n">
        <x:v>1</x:v>
      </x:c>
      <x:c r="E153" s="89" t="str">
        <x:v>GET</x:v>
      </x:c>
      <x:c r="F153" s="89" t="str">
        <x:v>/api/v1/opportunities</x:v>
      </x:c>
      <x:c r="G153" s="90" t="str">
        <x:v>{"organization_id":1}</x:v>
      </x:c>
      <x:c r="H153" s="90" t="str">
        <x:v>null</x:v>
      </x:c>
      <x:c r="I153" s="90" t="n">
        <x:v>200</x:v>
      </x:c>
      <x:c r="J153" s="90" t="str">
        <x:v>{"items":[{"opportunity_id":2,"title":"Inventory spreadsheet cleanup","description":"Merge three years of supplier spreadsheets into one clean inventory sheet.","status":"open","category":{"code":"knowledge","name":"Knowledge-based","description":"Digital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Bakery","organization_type":"small_business","city":"Calgary"},"skills":[{"code":"data-cleaning","name":"Data cleaning"},{"code":"inventory","name":"Inventory management"},{"code":"spreadsheets","name":"Spreadsheets"}],"requirements":"Comfortable with spreadsheet formulas and removing duplicates.","location":null,"work_mode":"remote","start_date":"2026-11-10","end_date":"2026-11-24","expected_hours":12.0,"compensation_type":"stipend","compensation_amount":150.0,"compensation_details":"Stipend paid at completion.","applicant_limit":1,"application_deadline":"2026-11-05T23:59:59Z","working_conditions":"Fully remote, self-paced.","safety_information":"Remote work; take regular screen breaks.","accessibility_details":"Remote; any assistive technology you already use is fine.","published_at":"2026-10-05T16:00:00Z","created_at":"2026-10-05T15:00:00Z","updated_at":"2026-10-28T06:03:03Z"},{"opportunity_id":3,"title":"Social media content calendar for the holiday season","description":"Plan and draft six weeks of Instagram posts, including product photos.","status":"open","category":{"code":… [truncated]</x:v>
      </x:c>
      <x:c r="K153" s="89" t="str">
        <x:v>Case duration 175 ms</x:v>
      </x:c>
    </x:row>
    <x:row r="154" ht="35" customHeight="1">
      <x:c r="A154" s="89" t="str">
        <x:v>OPP-LIST-025</x:v>
      </x:c>
      <x:c r="B154" s="89" t="str">
        <x:v>Browse Opportunities</x:v>
      </x:c>
      <x:c r="C154" s="89" t="str">
        <x:v>Passed</x:v>
      </x:c>
      <x:c r="D154" s="89" t="n">
        <x:v>1</x:v>
      </x:c>
      <x:c r="E154" s="89" t="str">
        <x:v>GET</x:v>
      </x:c>
      <x:c r="F154" s="89" t="str">
        <x:v>/api/v1/opportunities</x:v>
      </x:c>
      <x:c r="G154" s="90" t="str">
        <x:v>{"min_hours":20}</x:v>
      </x:c>
      <x:c r="H154" s="90" t="str">
        <x:v>null</x:v>
      </x:c>
      <x:c r="I154" s="90" t="n">
        <x:v>200</x:v>
      </x:c>
      <x:c r="J154" s="90" t="str">
        <x:v>{"items":[{"opportunity_id":1,"title":"Digitize paper recipe archive","description":"Scan and transcribe about 300 handwritten recipe cards into a structured spreadsheet.","status":"open","category":{"code":"knowledge","name":"Knowledge-based","description":"Digital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Bakery","organization_type":"small_business","city":"Calgary"},"skills":[{"code":"data-entry","name":"Data entry"},{"code":"spreadsheets","name":"Spreadsheets"}],"requirements":"Careful typing, basic spreadsheet skills. Scanner provided on site.","location":"Calgary (Kensington)","work_mode":"hybrid","start_date":"2026-11-25","end_date":"2026-12-12","expected_hours":20.0,"compensation_type":"paid","compensation_amount":400.0,"compensation_details":"Flat fee, paid by e-transfer after verification.","applicant_limit":2,"application_deadline":"2026-11-20T23:59:59Z","working_conditions":"Flexible hours; scanning on site, transcription from home.","safety_information":"Standard office setting; no hazards beyond normal computer use.","accessibility_details":"Step-free entrance; adjustable-height desk available.","published_at":"2026-10-01T15:00:00Z","created_at":"2026-09-30T18:00:00Z","updated_at":"2026-10-28T06:03:03Z"},{"opportunity_id":9,"title":"Event registration website refresh","description":"Refresh our static event registration page and make it mobile friendly.","stat… [truncated]</x:v>
      </x:c>
      <x:c r="K154" s="89" t="str">
        <x:v>Case duration 175 ms</x:v>
      </x:c>
    </x:row>
    <x:row r="155" ht="35" customHeight="1">
      <x:c r="A155" s="89" t="str">
        <x:v>OPP-LIST-026</x:v>
      </x:c>
      <x:c r="B155" s="89" t="str">
        <x:v>Browse Opportunities</x:v>
      </x:c>
      <x:c r="C155" s="89" t="str">
        <x:v>Passed</x:v>
      </x:c>
      <x:c r="D155" s="89" t="n">
        <x:v>1</x:v>
      </x:c>
      <x:c r="E155" s="89" t="str">
        <x:v>GET</x:v>
      </x:c>
      <x:c r="F155" s="89" t="str">
        <x:v>/api/v1/opportunities</x:v>
      </x:c>
      <x:c r="G155" s="90" t="str">
        <x:v>{"max_hours":15}</x:v>
      </x:c>
      <x:c r="H155" s="90" t="str">
        <x:v>null</x:v>
      </x:c>
      <x:c r="I155" s="90" t="n">
        <x:v>200</x:v>
      </x:c>
      <x:c r="J155" s="90" t="str">
        <x:v>{"items":[{"opportunity_id":2,"title":"Inventory spreadsheet cleanup","description":"Merge three years of supplier spreadsheets into one clean inventory sheet.","status":"open","category":{"code":"knowledge","name":"Knowledge-based","description":"Digital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Bakery","organization_type":"small_business","city":"Calgary"},"skills":[{"code":"data-cleaning","name":"Data cleaning"},{"code":"inventory","name":"Inventory management"},{"code":"spreadsheets","name":"Spreadsheets"}],"requirements":"Comfortable with spreadsheet formulas and removing duplicates.","location":null,"work_mode":"remote","start_date":"2026-11-10","end_date":"2026-11-24","expected_hours":12.0,"compensation_type":"stipend","compensation_amount":150.0,"compensation_details":"Stipend paid at completion.","applicant_limit":1,"application_deadline":"2026-11-05T23:59:59Z","working_conditions":"Fully remote, self-paced.","safety_information":"Remote work; take regular screen breaks.","accessibility_details":"Remote; any assistive technology you already use is fine.","published_at":"2026-10-05T16:00:00Z","created_at":"2026-10-05T15:00:00Z","updated_at":"2026-10-28T06:03:04Z"},{"opportunity_id":12,"title":"Event photographer for community fun run","description":"Photograph the start, finish and award ceremony of a 5 km community run.","status":"open","category":{"code":"communit… [truncated]</x:v>
      </x:c>
      <x:c r="K155" s="89" t="str">
        <x:v>Case duration 186 ms</x:v>
      </x:c>
    </x:row>
    <x:row r="156" ht="35" customHeight="1">
      <x:c r="A156" s="89" t="str">
        <x:v>OPP-LIST-027</x:v>
      </x:c>
      <x:c r="B156" s="89" t="str">
        <x:v>Browse Opportunities</x:v>
      </x:c>
      <x:c r="C156" s="89" t="str">
        <x:v>Passed</x:v>
      </x:c>
      <x:c r="D156" s="89" t="n">
        <x:v>1</x:v>
      </x:c>
      <x:c r="E156" s="89" t="str">
        <x:v>GET</x:v>
      </x:c>
      <x:c r="F156" s="89" t="str">
        <x:v>/api/v1/opportunities</x:v>
      </x:c>
      <x:c r="G156" s="90" t="str">
        <x:v>{"min_hours":20,"max_hours":25}</x:v>
      </x:c>
      <x:c r="H156" s="90" t="str">
        <x:v>null</x:v>
      </x:c>
      <x:c r="I156" s="90" t="n">
        <x:v>200</x:v>
      </x:c>
      <x:c r="J156" s="90" t="str">
        <x:v>{"items":[{"opportunity_id":1,"title":"Digitize paper recipe archive","description":"Scan and transcribe about 300 handwritten recipe cards into a structured spreadsheet.","status":"open","category":{"code":"knowledge","name":"Knowledge-based","description":"Digital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Bakery","organization_type":"small_business","city":"Calgary"},"skills":[{"code":"data-entry","name":"Data entry"},{"code":"spreadsheets","name":"Spreadsheets"}],"requirements":"Careful typing, basic spreadsheet skills. Scanner provided on site.","location":"Calgary (Kensington)","work_mode":"hybrid","start_date":"2026-11-25","end_date":"2026-12-12","expected_hours":20.0,"compensation_type":"paid","compensation_amount":400.0,"compensation_details":"Flat fee, paid by e-transfer after verification.","applicant_limit":2,"application_deadline":"2026-11-20T23:59:59Z","working_conditions":"Flexible hours; scanning on site, transcription from home.","safety_information":"Standard office setting; no hazards beyond normal computer use.","accessibility_details":"Step-free entrance; adjustable-height desk available.","published_at":"2026-10-01T15:00:00Z","created_at":"2026-09-30T18:00:00Z","updated_at":"2026-10-28T06:03:04Z"},{"opportunity_id":9,"title":"Event registration website refresh","description":"Refresh our static event registration page and make it mobile friendly.","stat… [truncated]</x:v>
      </x:c>
      <x:c r="K156" s="89" t="str">
        <x:v>Case duration 191 ms</x:v>
      </x:c>
    </x:row>
    <x:row r="157" ht="35" customHeight="1">
      <x:c r="A157" s="89" t="str">
        <x:v>OPP-LIST-028</x:v>
      </x:c>
      <x:c r="B157" s="89" t="str">
        <x:v>Browse Opportunities</x:v>
      </x:c>
      <x:c r="C157" s="89" t="str">
        <x:v>Passed</x:v>
      </x:c>
      <x:c r="D157" s="89" t="n">
        <x:v>1</x:v>
      </x:c>
      <x:c r="E157" s="89" t="str">
        <x:v>GET</x:v>
      </x:c>
      <x:c r="F157" s="89" t="str">
        <x:v>/api/v1/opportunities</x:v>
      </x:c>
      <x:c r="G157" s="90" t="str">
        <x:v>{"min_hours":30,"max_hours":15}</x:v>
      </x:c>
      <x:c r="H157" s="90" t="str">
        <x:v>null</x:v>
      </x:c>
      <x:c r="I157" s="90" t="n">
        <x:v>422</x:v>
      </x:c>
      <x:c r="J157" s="90" t="str">
        <x:v>{"error":{"code":"VALIDATION_ERROR","message":"Request validation failed","details":[{"loc":["query"],"message":"Value error, min_hours must be less than or equal to max_hours","type":"value_error"}]}}</x:v>
      </x:c>
      <x:c r="K157" s="89" t="str">
        <x:v>Case duration 182 ms</x:v>
      </x:c>
    </x:row>
    <x:row r="158" ht="35" customHeight="1">
      <x:c r="A158" s="89" t="str">
        <x:v>OPP-LIST-029</x:v>
      </x:c>
      <x:c r="B158" s="89" t="str">
        <x:v>Browse Opportunities</x:v>
      </x:c>
      <x:c r="C158" s="89" t="str">
        <x:v>Passed</x:v>
      </x:c>
      <x:c r="D158" s="89" t="n">
        <x:v>1</x:v>
      </x:c>
      <x:c r="E158" s="89" t="str">
        <x:v>GET</x:v>
      </x:c>
      <x:c r="F158" s="89" t="str">
        <x:v>/api/v1/opportunities</x:v>
      </x:c>
      <x:c r="G158" s="90" t="str">
        <x:v>{"deadline_before":"2026-11-13T00:00:00Z"}</x:v>
      </x:c>
      <x:c r="H158" s="90" t="str">
        <x:v>null</x:v>
      </x:c>
      <x:c r="I158" s="90" t="n">
        <x:v>200</x:v>
      </x:c>
      <x:c r="J158" s="90" t="str">
        <x:v>{"items":[{"opportunity_id":2,"title":"Inventory spreadsheet cleanup","description":"Merge three years of supplier spreadsheets into one clean inventory sheet.","status":"open","category":{"code":"knowledge","name":"Knowledge-based","description":"Digital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Bakery","organization_type":"small_business","city":"Calgary"},"skills":[{"code":"data-cleaning","name":"Data cleaning"},{"code":"inventory","name":"Inventory management"},{"code":"spreadsheets","name":"Spreadsheets"}],"requirements":"Comfortable with spreadsheet formulas and removing duplicates.","location":null,"work_mode":"remote","start_date":"2026-11-10","end_date":"2026-11-24","expected_hours":12.0,"compensation_type":"stipend","compensation_amount":150.0,"compensation_details":"Stipend paid at completion.","applicant_limit":1,"application_deadline":"2026-11-05T23:59:59Z","working_conditions":"Fully remote, self-paced.","safety_information":"Remote work; take regular screen breaks.","accessibility_details":"Remote; any assistive technology you already use is fine.","published_at":"2026-10-05T16:00:00Z","created_at":"2026-10-05T15:00:00Z","updated_at":"2026-10-28T06:03:04Z"},{"opportunity_id":12,"title":"Event photographer for community fun run","description":"Photograph the start, finish and award ceremony of a 5 km community run.","status":"open","category":{"code":"communit… [truncated]</x:v>
      </x:c>
      <x:c r="K158" s="89" t="str">
        <x:v>Case duration 157 ms</x:v>
      </x:c>
    </x:row>
    <x:row r="159" ht="35" customHeight="1">
      <x:c r="A159" s="89" t="str">
        <x:v>OPP-LIST-030</x:v>
      </x:c>
      <x:c r="B159" s="89" t="str">
        <x:v>Browse Opportunities</x:v>
      </x:c>
      <x:c r="C159" s="89" t="str">
        <x:v>Passed</x:v>
      </x:c>
      <x:c r="D159" s="89" t="n">
        <x:v>1</x:v>
      </x:c>
      <x:c r="E159" s="89" t="str">
        <x:v>GET</x:v>
      </x:c>
      <x:c r="F159" s="89" t="str">
        <x:v>/api/v1/opportunities</x:v>
      </x:c>
      <x:c r="G159" s="90" t="str">
        <x:v>{"deadline_before":"2026-11-13T00:00:00Z"}</x:v>
      </x:c>
      <x:c r="H159" s="90" t="str">
        <x:v>null</x:v>
      </x:c>
      <x:c r="I159" s="90" t="n">
        <x:v>200</x:v>
      </x:c>
      <x:c r="J159" s="90" t="str">
        <x:v>{"items":[{"opportunity_id":2,"title":"Inventory spreadsheet cleanup","description":"Merge three years of supplier spreadsheets into one clean inventory sheet.","status":"open","category":{"code":"knowledge","name":"Knowledge-based","description":"Digital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Bakery","organization_type":"small_business","city":"Calgary"},"skills":[{"code":"data-cleaning","name":"Data cleaning"},{"code":"inventory","name":"Inventory management"},{"code":"spreadsheets","name":"Spreadsheets"}],"requirements":"Comfortable with spreadsheet formulas and removing duplicates.","location":null,"work_mode":"remote","start_date":"2026-11-10","end_date":"2026-11-24","expected_hours":12.0,"compensation_type":"stipend","compensation_amount":150.0,"compensation_details":"Stipend paid at completion.","applicant_limit":1,"application_deadline":"2026-11-05T23:59:59Z","working_conditions":"Fully remote, self-paced.","safety_information":"Remote work; take regular screen breaks.","accessibility_details":"Remote; any assistive technology you already use is fine.","published_at":"2026-10-05T16:00:00Z","created_at":"2026-10-05T15:00:00Z","updated_at":"2026-10-28T06:03:04Z"},{"opportunity_id":12,"title":"Event photographer for community fun run","description":"Photograph the start, finish and award ceremony of a 5 km community run.","status":"open","category":{"code":"communit… [truncated]</x:v>
      </x:c>
      <x:c r="K159" s="89" t="str"/>
    </x:row>
    <x:row r="160" ht="35" customHeight="1">
      <x:c r="A160" s="89" t="str">
        <x:v>OPP-LIST-030</x:v>
      </x:c>
      <x:c r="B160" s="89" t="str">
        <x:v>Browse Opportunities</x:v>
      </x:c>
      <x:c r="C160" s="89" t="str">
        <x:v>Passed</x:v>
      </x:c>
      <x:c r="D160" s="89" t="n">
        <x:v>2</x:v>
      </x:c>
      <x:c r="E160" s="89" t="str">
        <x:v>GET</x:v>
      </x:c>
      <x:c r="F160" s="89" t="str">
        <x:v>/api/v1/opportunities</x:v>
      </x:c>
      <x:c r="G160" s="90" t="str">
        <x:v>{"deadline_before":"2026-11-12T17:00:00-07:00"}</x:v>
      </x:c>
      <x:c r="H160" s="90" t="str">
        <x:v>null</x:v>
      </x:c>
      <x:c r="I160" s="90" t="n">
        <x:v>200</x:v>
      </x:c>
      <x:c r="J160" s="90" t="str">
        <x:v>{"items":[{"opportunity_id":2,"title":"Inventory spreadsheet cleanup","description":"Merge three years of supplier spreadsheets into one clean inventory sheet.","status":"open","category":{"code":"knowledge","name":"Knowledge-based","description":"Digital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Bakery","organization_type":"small_business","city":"Calgary"},"skills":[{"code":"data-cleaning","name":"Data cleaning"},{"code":"inventory","name":"Inventory management"},{"code":"spreadsheets","name":"Spreadsheets"}],"requirements":"Comfortable with spreadsheet formulas and removing duplicates.","location":null,"work_mode":"remote","start_date":"2026-11-10","end_date":"2026-11-24","expected_hours":12.0,"compensation_type":"stipend","compensation_amount":150.0,"compensation_details":"Stipend paid at completion.","applicant_limit":1,"application_deadline":"2026-11-05T23:59:59Z","working_conditions":"Fully remote, self-paced.","safety_information":"Remote work; take regular screen breaks.","accessibility_details":"Remote; any assistive technology you already use is fine.","published_at":"2026-10-05T16:00:00Z","created_at":"2026-10-05T15:00:00Z","updated_at":"2026-10-28T06:03:04Z"},{"opportunity_id":12,"title":"Event photographer for community fun run","description":"Photograph the start, finish and award ceremony of a 5 km community run.","status":"open","category":{"code":"communit… [truncated]</x:v>
      </x:c>
      <x:c r="K160" s="89" t="str">
        <x:v>Case duration 207 ms</x:v>
      </x:c>
    </x:row>
    <x:row r="161" ht="35" customHeight="1">
      <x:c r="A161" s="89" t="str">
        <x:v>OPP-LIST-031</x:v>
      </x:c>
      <x:c r="B161" s="89" t="str">
        <x:v>Browse Opportunities</x:v>
      </x:c>
      <x:c r="C161" s="89" t="str">
        <x:v>Passed</x:v>
      </x:c>
      <x:c r="D161" s="89" t="n">
        <x:v>1</x:v>
      </x:c>
      <x:c r="E161" s="89" t="str">
        <x:v>GET</x:v>
      </x:c>
      <x:c r="F161" s="89" t="str">
        <x:v>/api/v1/opportunities</x:v>
      </x:c>
      <x:c r="G161" s="90" t="str">
        <x:v>{"q":"unfindable-query-119922","limit":1}</x:v>
      </x:c>
      <x:c r="H161" s="90" t="str">
        <x:v>null</x:v>
      </x:c>
      <x:c r="I161" s="90" t="n">
        <x:v>200</x:v>
      </x:c>
      <x:c r="J161" s="90" t="str">
        <x:v>{"items":[],"total":0,"limit":1,"offset":0}</x:v>
      </x:c>
      <x:c r="K161" s="89" t="str">
        <x:v>Case duration 224 ms</x:v>
      </x:c>
    </x:row>
    <x:row r="162" ht="35" customHeight="1">
      <x:c r="A162" s="89" t="str">
        <x:v>OPP-LIST-032</x:v>
      </x:c>
      <x:c r="B162" s="89" t="str">
        <x:v>Browse Opportunities</x:v>
      </x:c>
      <x:c r="C162" s="89" t="str">
        <x:v>Passed</x:v>
      </x:c>
      <x:c r="D162" s="89" t="n">
        <x:v>1</x:v>
      </x:c>
      <x:c r="E162" s="89" t="str">
        <x:v>GET</x:v>
      </x:c>
      <x:c r="F162" s="89" t="str">
        <x:v>/api/v1/opportunities</x:v>
      </x:c>
      <x:c r="G162" s="90" t="str">
        <x:v>{"sort":"deadline","limit":100}</x:v>
      </x:c>
      <x:c r="H162" s="90" t="str">
        <x:v>null</x:v>
      </x:c>
      <x:c r="I162" s="90" t="n">
        <x:v>200</x:v>
      </x:c>
      <x:c r="J162" s="90" t="str">
        <x:v>{"items":[{"opportunity_id":2,"title":"Inventory spreadsheet cleanup","description":"Merge three years of supplier spreadsheets into one clean inventory sheet.","status":"open","category":{"code":"knowledge","name":"Knowledge-based","description":"Digital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Bakery","organization_type":"small_business","city":"Calgary"},"skills":[{"code":"data-cleaning","name":"Data cleaning"},{"code":"inventory","name":"Inventory management"},{"code":"spreadsheets","name":"Spreadsheets"}],"requirements":"Comfortable with spreadsheet formulas and removing duplicates.","location":null,"work_mode":"remote","start_date":"2026-11-10","end_date":"2026-11-24","expected_hours":12.0,"compensation_type":"stipend","compensation_amount":150.0,"compensation_details":"Stipend paid at completion.","applicant_limit":1,"application_deadline":"2026-11-05T23:59:59Z","working_conditions":"Fully remote, self-paced.","safety_information":"Remote work; take regular screen breaks.","accessibility_details":"Remote; any assistive technology you already use is fine.","published_at":"2026-10-05T16:00:00Z","created_at":"2026-10-05T15:00:00Z","updated_at":"2026-10-28T06:03:05Z"},{"opportunity_id":12,"title":"Event photographer for community fun run","description":"Photograph the start, finish and award ceremony of a 5 km community run.","status":"open","category":{"code":"communit… [truncated]</x:v>
      </x:c>
      <x:c r="K162" s="89" t="str">
        <x:v>Case duration 171 ms</x:v>
      </x:c>
    </x:row>
    <x:row r="163" ht="35" customHeight="1">
      <x:c r="A163" s="89" t="str">
        <x:v>OPP-LIST-033</x:v>
      </x:c>
      <x:c r="B163" s="89" t="str">
        <x:v>Browse Opportunities</x:v>
      </x:c>
      <x:c r="C163" s="89" t="str">
        <x:v>Passed</x:v>
      </x:c>
      <x:c r="D163" s="89" t="n">
        <x:v>1</x:v>
      </x:c>
      <x:c r="E163" s="89" t="str">
        <x:v>GET</x:v>
      </x:c>
      <x:c r="F163" s="89" t="str">
        <x:v>/api/v1/opportunities</x:v>
      </x:c>
      <x:c r="G163" s="90" t="str">
        <x:v>{"sort":"-deadline","limit":100}</x:v>
      </x:c>
      <x:c r="H163" s="90" t="str">
        <x:v>null</x:v>
      </x:c>
      <x:c r="I163" s="90" t="n">
        <x:v>200</x:v>
      </x:c>
      <x:c r="J163" s="90" t="str">
        <x:v>{"items":[{"opportunity_id":7,"title":"Translate client intake forms (Spanish, Punjabi)","description":"Translate our two-page intake form and FAQ into Spanish and Punjabi.","status":"open","category":{"code":"knowledge","name":"Knowledge-based","description":"Digital support, data organization, record digitization and similar tasks."},"organization":{"organization_id":2,"name":"Bow River Community Food Bank","organization_type":"nonprofit","city":"Calgary"},"skills":[{"code":"translation","name":"Translation"}],"requirements":"Fluent written Spanish or Punjabi.","location":null,"work_mode":"remote","start_date":"2027-01-20","end_date":"2027-02-10","expected_hours":10.0,"compensation_type":"unpaid","compensation_amount":null,"compensation_details":"Volunteer role.","applicant_limit":3,"application_deadline":"2027-01-15T23:59:59Z","working_conditions":"Remote, flexible schedule.","safety_information":"Remote work; no hazards.","accessibility_details":"Remote; any assistive technology you already use is fine.","published_at":"2026-10-14T16:00:00Z","created_at":"2026-10-14T15:00:00Z","updated_at":"2026-10-28T06:03:05Z"},{"opportunity_id":13,"title":"New Year's Eve family event greeters","description":"Welcome families, hand out wristbands and answer questions at the NYE family event.","status":"open","category":{"code":"community","name":"Community","description":"Physical tasks, community activities and event-based support."},"organization":{"organization_id… [truncated]</x:v>
      </x:c>
      <x:c r="K163" s="89" t="str">
        <x:v>Case duration 168 ms</x:v>
      </x:c>
    </x:row>
    <x:row r="164" ht="35" customHeight="1">
      <x:c r="A164" s="89" t="str">
        <x:v>OPP-LIST-034</x:v>
      </x:c>
      <x:c r="B164" s="89" t="str">
        <x:v>Browse Opportunities</x:v>
      </x:c>
      <x:c r="C164" s="89" t="str">
        <x:v>Passed</x:v>
      </x:c>
      <x:c r="D164" s="89" t="n">
        <x:v>1</x:v>
      </x:c>
      <x:c r="E164" s="89" t="str">
        <x:v>GET</x:v>
      </x:c>
      <x:c r="F164" s="89" t="str">
        <x:v>/api/v1/opportunities</x:v>
      </x:c>
      <x:c r="G164" s="90" t="str">
        <x:v>{"sort":"newest","limit":100}</x:v>
      </x:c>
      <x:c r="H164" s="90" t="str">
        <x:v>null</x:v>
      </x:c>
      <x:c r="I164" s="90" t="n">
        <x:v>200</x:v>
      </x:c>
      <x:c r="J164" s="90" t="str">
        <x:v>{"items":[{"opportunity_id":13,"title":"New Year's Eve family event greeters","description":"Welcome families, hand out wristbands and answer questions at the NYE family event.","status":"open","category":{"code":"community","name":"Community","description":"Physical tasks, community activities and event-based support."},"organization":{"organization_id":3,"name":"YYC Neighbourhood Events","organization_type":"event_organizer","city":"Calgary"},"skills":[{"code":"customer-service","name":"Customer service"},{"code":"event-setup","name":"Event setup"}],"requirements":"Friendly and comfortable speaking with the public.","location":"Calgary (Downtown)","work_mode":"on_site","start_date":"2026-12-31","end_date":"2026-12-31","expected_hours":6.0,"compensation_type":"unpaid","compensation_amount":null,"compensation_details":"Volunteer role; snacks provided.","applicant_limit":12,"application_deadline":"2026-12-20T23:59:59Z","working_conditions":"Evening shift 17:00-23:00, indoors.","safety_information":"Crowd management briefing before the shift; staff security on site.","accessibility_details":"Indoor venue with elevators and accessible washrooms.","published_at":"2026-10-15T17:00:00Z","created_at":"2026-10-15T16:00:00Z","updated_at":"2026-10-28T06:03:05Z"},{"opportunity_id":7,"title":"Translate client intake forms (Spanish, Punjabi)","description":"Translate our two-page intake form and FAQ into Spanish and Punjabi.","status":"open","category":{"code":"knowled… [truncated]</x:v>
      </x:c>
      <x:c r="K164" s="89" t="str">
        <x:v>Case duration 191 ms</x:v>
      </x:c>
    </x:row>
    <x:row r="165" ht="35" customHeight="1">
      <x:c r="A165" s="89" t="str">
        <x:v>OPP-LIST-035</x:v>
      </x:c>
      <x:c r="B165" s="89" t="str">
        <x:v>Browse Opportunities</x:v>
      </x:c>
      <x:c r="C165" s="89" t="str">
        <x:v>Passed</x:v>
      </x:c>
      <x:c r="D165" s="89" t="n">
        <x:v>1</x:v>
      </x:c>
      <x:c r="E165" s="89" t="str">
        <x:v>GET</x:v>
      </x:c>
      <x:c r="F165" s="89" t="str">
        <x:v>/api/v1/opportunities</x:v>
      </x:c>
      <x:c r="G165" s="90" t="str">
        <x:v>{"sort":"oldest","limit":100}</x:v>
      </x:c>
      <x:c r="H165" s="90" t="str">
        <x:v>null</x:v>
      </x:c>
      <x:c r="I165" s="90" t="n">
        <x:v>200</x:v>
      </x:c>
      <x:c r="J165" s="90" t="str">
        <x:v>{"items":[{"opportunity_id":5,"title":"Weekend food hamper packing","description":"Pack and label food hampers for families on Saturday mornings.","status":"open","category":{"code":"community","name":"Community","description":"Physical tasks, community activities and event-based support."},"organization":{"organization_id":2,"name":"Bow River Community Food Bank","organization_type":"nonprofit","city":"Calgary"},"skills":[{"code":"food-handling","name":"Food handling"},{"code":"inventory","name":"Inventory management"}],"requirements":"Able to lift boxes up to 10 kg (lighter tasks available).","location":"Calgary (Marlborough)","work_mode":"on_site","start_date":"2026-12-01","end_date":"2027-01-31","expected_hours":24.0,"compensation_type":"unpaid","compensation_amount":null,"compensation_details":"Volunteer role; verified hours count toward your GROW8 record.","applicant_limit":10,"application_deadline":"2026-11-30T23:59:59Z","working_conditions":"Saturday 9:00-12:00 shifts in the warehouse.","safety_information":"Closed-toe shoes required; lifting training on the first shift.","accessibility_details":"Ground-floor warehouse; seated labelling tasks available.","published_at":"2026-09-20T14:00:00Z","created_at":"2026-09-20T13:00:00Z","updated_at":"2026-10-28T06:03:05Z"},{"opportunity_id":1,"title":"Digitize paper recipe archive","description":"Scan and transcribe about 300 handwritten recipe cards into a structured spreadsheet.","status":"open","category"… [truncated]</x:v>
      </x:c>
      <x:c r="K165" s="89" t="str">
        <x:v>Case duration 183 ms</x:v>
      </x:c>
    </x:row>
    <x:row r="166" ht="35" customHeight="1">
      <x:c r="A166" s="89" t="str">
        <x:v>OPP-LIST-036</x:v>
      </x:c>
      <x:c r="B166" s="89" t="str">
        <x:v>Browse Opportunities</x:v>
      </x:c>
      <x:c r="C166" s="89" t="str">
        <x:v>Passed</x:v>
      </x:c>
      <x:c r="D166" s="89" t="n">
        <x:v>1</x:v>
      </x:c>
      <x:c r="E166" s="89" t="str">
        <x:v>GET</x:v>
      </x:c>
      <x:c r="F166" s="89" t="str">
        <x:v>/api/v1/opportunities</x:v>
      </x:c>
      <x:c r="G166" s="90" t="str">
        <x:v>{"sort":"hours","limit":100}</x:v>
      </x:c>
      <x:c r="H166" s="90" t="str">
        <x:v>null</x:v>
      </x:c>
      <x:c r="I166" s="90" t="n">
        <x:v>200</x:v>
      </x:c>
      <x:c r="J166" s="90" t="str">
        <x:v>{"items":[{"opportunity_id":12,"title":"Event photographer for community fun run","description":"Photograph the start, finish and award ceremony of a 5 km community run.","status":"open","category":{"code":"community","name":"Community","description":"Physical tasks, community activities and event-based support."},"organization":{"organization_id":3,"name":"YYC Neighbourhood Events","organization_type":"event_organizer","city":"Calgary"},"skills":[{"code":"photography","name":"Photography"}],"requirements":"Own camera; portfolio link.","location":"Edworthy Park, Calgary","work_mode":"on_site","start_date":"2026-11-15","end_date":"2026-11-15","expected_hours":5.0,"compensation_type":"stipend","compensation_amount":100.0,"compensation_details":"Stipend paid after photos are delivered.","applicant_limit":2,"application_deadline":"2026-11-08T23:59:59Z","working_conditions":"One morning outdoors.","safety_information":"Stay off the running course; marshals will guide you.","accessibility_details":"Finish-line area is step-free.","published_at":"2026-10-09T16:00:00Z","created_at":"2026-10-09T15:00:00Z","updated_at":"2026-10-28T06:03:06Z"},{"opportunity_id":13,"title":"New Year's Eve family event greeters","description":"Welcome families, hand out wristbands and answer questions at the NYE family event.","status":"open","category":{"code":"community","name":"Community","description":"Physical tasks, community activities and event-based support."},"organization":{… [truncated]</x:v>
      </x:c>
      <x:c r="K166" s="89" t="str">
        <x:v>Case duration 192 ms</x:v>
      </x:c>
    </x:row>
    <x:row r="167" ht="35" customHeight="1">
      <x:c r="A167" s="89" t="str">
        <x:v>OPP-LIST-037</x:v>
      </x:c>
      <x:c r="B167" s="89" t="str">
        <x:v>Browse Opportunities</x:v>
      </x:c>
      <x:c r="C167" s="89" t="str">
        <x:v>Passed</x:v>
      </x:c>
      <x:c r="D167" s="89" t="n">
        <x:v>1</x:v>
      </x:c>
      <x:c r="E167" s="89" t="str">
        <x:v>GET</x:v>
      </x:c>
      <x:c r="F167" s="89" t="str">
        <x:v>/api/v1/opportunities</x:v>
      </x:c>
      <x:c r="G167" s="90" t="str">
        <x:v>{"sort":"-hours","limit":100}</x:v>
      </x:c>
      <x:c r="H167" s="90" t="str">
        <x:v>null</x:v>
      </x:c>
      <x:c r="I167" s="90" t="n">
        <x:v>200</x:v>
      </x:c>
      <x:c r="J167" s="90" t="str">
        <x:v>{"items":[{"opportunity_id":6,"title":"Donor database deduplication","description":"Find and merge duplicate donor records in our CRM export before year-end receipts.","status":"open","category":{"code":"knowledge","name":"Knowledge-based","description":"Digital support, data organization, record digitization and similar tasks."},"organization":{"organization_id":2,"name":"Bow River Community Food Bank","organization_type":"nonprofit","city":"Calgary"},"skills":[{"code":"data-cleaning","name":"Data cleaning"},{"code":"data-entry","name":"Data entry"},{"code":"spreadsheets","name":"Spreadsheets"}],"requirements":"Experience with spreadsheets or basic data cleaning; confidentiality agreement required.","location":null,"work_mode":"remote","start_date":"2027-01-05","end_date":"2027-02-15","expected_hours":30.0,"compensation_type":"stipend","compensation_amount":250.0,"compensation_details":"Stipend paid on verification.","applicant_limit":2,"application_deadline":"2026-12-15T23:59:59Z","working_conditions":"Remote, around 5 hours per week.","safety_information":"Remote work; personal data must stay on the provided laptop.","accessibility_details":"Remote; screen-reader friendly spreadsheets on request.","published_at":"2026-10-12T18:00:00Z","created_at":"2026-10-12T17:00:00Z","updated_at":"2026-10-28T06:03:06Z"},{"opportunity_id":9,"title":"Event registration website refresh","description":"Refresh our static event registration page and make it mobile friendl… [truncated]</x:v>
      </x:c>
      <x:c r="K167" s="89" t="str">
        <x:v>Case duration 228 ms</x:v>
      </x:c>
    </x:row>
    <x:row r="168" ht="35" customHeight="1">
      <x:c r="A168" s="89" t="str">
        <x:v>OPP-LIST-038</x:v>
      </x:c>
      <x:c r="B168" s="89" t="str">
        <x:v>Browse Opportunities</x:v>
      </x:c>
      <x:c r="C168" s="89" t="str">
        <x:v>Passed</x:v>
      </x:c>
      <x:c r="D168" s="89" t="n">
        <x:v>1</x:v>
      </x:c>
      <x:c r="E168" s="89" t="str">
        <x:v>GET</x:v>
      </x:c>
      <x:c r="F168" s="89" t="str">
        <x:v>/api/v1/opportunities</x:v>
      </x:c>
      <x:c r="G168" s="90" t="str">
        <x:v>{"sort":"compensation","limit":100}</x:v>
      </x:c>
      <x:c r="H168" s="90" t="str">
        <x:v>null</x:v>
      </x:c>
      <x:c r="I168" s="90" t="n">
        <x:v>200</x:v>
      </x:c>
      <x:c r="J168" s="90" t="str">
        <x:v>{"items":[{"opportunity_id":5,"title":"Weekend food hamper packing","description":"Pack and label food hampers for families on Saturday mornings.","status":"open","category":{"code":"community","name":"Community","description":"Physical tasks, community activities and event-based support."},"organization":{"organization_id":2,"name":"Bow River Community Food Bank","organization_type":"nonprofit","city":"Calgary"},"skills":[{"code":"food-handling","name":"Food handling"},{"code":"inventory","name":"Inventory management"}],"requirements":"Able to lift boxes up to 10 kg (lighter tasks available).","location":"Calgary (Marlborough)","work_mode":"on_site","start_date":"2026-12-01","end_date":"2027-01-31","expected_hours":24.0,"compensation_type":"unpaid","compensation_amount":null,"compensation_details":"Volunteer role; verified hours count toward your GROW8 record.","applicant_limit":10,"application_deadline":"2026-11-30T23:59:59Z","working_conditions":"Saturday 9:00-12:00 shifts in the warehouse.","safety_information":"Closed-toe shoes required; lifting training on the first shift.","accessibility_details":"Ground-floor warehouse; seated labelling tasks available.","published_at":"2026-09-20T14:00:00Z","created_at":"2026-09-20T13:00:00Z","updated_at":"2026-10-28T06:03:06Z"},{"opportunity_id":7,"title":"Translate client intake forms (Spanish, Punjabi)","description":"Translate our two-page intake form and FAQ into Spanish and Punjabi.","status":"open","categor… [truncated]</x:v>
      </x:c>
      <x:c r="K168" s="89" t="str">
        <x:v>Case duration 176 ms</x:v>
      </x:c>
    </x:row>
    <x:row r="169" ht="35" customHeight="1">
      <x:c r="A169" s="89" t="str">
        <x:v>OPP-LIST-039</x:v>
      </x:c>
      <x:c r="B169" s="89" t="str">
        <x:v>Browse Opportunities</x:v>
      </x:c>
      <x:c r="C169" s="89" t="str">
        <x:v>Passed</x:v>
      </x:c>
      <x:c r="D169" s="89" t="n">
        <x:v>1</x:v>
      </x:c>
      <x:c r="E169" s="89" t="str">
        <x:v>GET</x:v>
      </x:c>
      <x:c r="F169" s="89" t="str">
        <x:v>/api/v1/opportunities</x:v>
      </x:c>
      <x:c r="G169" s="90" t="str">
        <x:v>{"sort":"-compensation","limit":100}</x:v>
      </x:c>
      <x:c r="H169" s="90" t="str">
        <x:v>null</x:v>
      </x:c>
      <x:c r="I169" s="90" t="n">
        <x:v>200</x:v>
      </x:c>
      <x:c r="J169" s="90" t="str">
        <x:v>{"items":[{"opportunity_id":9,"title":"Event registration website refresh","description":"Refresh our static event registration page and make it mobile friendly.","status":"open","category":{"code":"knowledge","name":"Knowledge-based","description":"Digital support, data organization, record digitization and similar tasks."},"organization":{"organization_id":3,"name":"YYC Neighbourhood Events","organization_type":"event_organizer","city":"Calgary"},"skills":[{"code":"graphic-design","name":"Graphic design"},{"code":"web-basics","name":"Web basics (HTML/CSS)"}],"requirements":"HTML/CSS basics; share a link to something you have built.","location":"Calgary (Beltline)","work_mode":"hybrid","start_date":"2026-12-01","end_date":"2027-01-10","expected_hours":25.0,"compensation_type":"paid","compensation_amount":600.0,"compensation_details":"Paid in two milestones.","applicant_limit":1,"application_deadline":"2026-11-25T23:59:59Z","working_conditions":"Mostly remote; one kickoff meeting in person.","safety_information":"Remote work; meeting held in a public library room.","accessibility_details":"Kickoff can be held online instead.","published_at":"2026-10-03T20:00:00Z","created_at":"2026-10-03T19:00:00Z","updated_at":"2026-10-28T06:03:06Z"},{"opportunity_id":1,"title":"Digitize paper recipe archive","description":"Scan and transcribe about 300 handwritten recipe cards into a structured spreadsheet.","status":"open","category":{"code":"knowledge","name":"Knowledg… [truncated]</x:v>
      </x:c>
      <x:c r="K169" s="89" t="str">
        <x:v>Case duration 178 ms</x:v>
      </x:c>
    </x:row>
    <x:row r="170" ht="35" customHeight="1">
      <x:c r="A170" s="89" t="str">
        <x:v>OPP-LIST-040</x:v>
      </x:c>
      <x:c r="B170" s="89" t="str">
        <x:v>Browse Opportunities</x:v>
      </x:c>
      <x:c r="C170" s="89" t="str">
        <x:v>Passed</x:v>
      </x:c>
      <x:c r="D170" s="89" t="n">
        <x:v>1</x:v>
      </x:c>
      <x:c r="E170" s="89" t="str">
        <x:v>GET</x:v>
      </x:c>
      <x:c r="F170" s="89" t="str">
        <x:v>/api/v1/opportunities</x:v>
      </x:c>
      <x:c r="G170" s="90" t="str">
        <x:v>{"sort":"title","limit":100}</x:v>
      </x:c>
      <x:c r="H170" s="90" t="str">
        <x:v>null</x:v>
      </x:c>
      <x:c r="I170" s="90" t="n">
        <x:v>200</x:v>
      </x:c>
      <x:c r="J170" s="90" t="str">
        <x:v>{"items":[{"opportunity_id":1,"title":"Digitize paper recipe archive","description":"Scan and transcribe about 300 handwritten recipe cards into a structured spreadsheet.","status":"open","category":{"code":"knowledge","name":"Knowledge-based","description":"Digital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Bakery","organization_type":"small_business","city":"Calgary"},"skills":[{"code":"data-entry","name":"Data entry"},{"code":"spreadsheets","name":"Spreadsheets"}],"requirements":"Careful typing, basic spreadsheet skills. Scanner provided on site.","location":"Calgary (Kensington)","work_mode":"hybrid","start_date":"2026-11-25","end_date":"2026-12-12","expected_hours":20.0,"compensation_type":"paid","compensation_amount":400.0,"compensation_details":"Flat fee, paid by e-transfer after verification.","applicant_limit":2,"application_deadline":"2026-11-20T23:59:59Z","working_conditions":"Flexible hours; scanning on site, transcription from home.","safety_information":"Standard office setting; no hazards beyond normal computer use.","accessibility_details":"Step-free entrance; adjustable-height desk available.","published_at":"2026-10-01T15:00:00Z","created_at":"2026-09-30T18:00:00Z","updated_at":"2026-10-28T06:03:06Z"},{"opportunity_id":6,"title":"Donor database deduplication","description":"Find and merge duplicate donor records in our CRM export before year-end receipts.",… [truncated]</x:v>
      </x:c>
      <x:c r="K170" s="89" t="str">
        <x:v>Case duration 280 ms</x:v>
      </x:c>
    </x:row>
    <x:row r="171" ht="35" customHeight="1">
      <x:c r="A171" s="89" t="str">
        <x:v>OPP-LIST-041</x:v>
      </x:c>
      <x:c r="B171" s="89" t="str">
        <x:v>Browse Opportunities</x:v>
      </x:c>
      <x:c r="C171" s="89" t="str">
        <x:v>Passed</x:v>
      </x:c>
      <x:c r="D171" s="89" t="n">
        <x:v>1</x:v>
      </x:c>
      <x:c r="E171" s="89" t="str">
        <x:v>GET</x:v>
      </x:c>
      <x:c r="F171" s="89" t="str">
        <x:v>/api/v1/opportunities</x:v>
      </x:c>
      <x:c r="G171" s="90" t="str">
        <x:v>null</x:v>
      </x:c>
      <x:c r="H171" s="90" t="str">
        <x:v>null</x:v>
      </x:c>
      <x:c r="I171" s="90" t="n">
        <x:v>200</x:v>
      </x:c>
      <x:c r="J171" s="90" t="str">
        <x:v>{"items":[{"opportunity_id":2,"title":"Inventory spreadsheet cleanup","description":"Merge three years of supplier spreadsheets into one clean inventory sheet.","status":"open","category":{"code":"knowledge","name":"Knowledge-based","description":"Digital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Bakery","organization_type":"small_business","city":"Calgary"},"skills":[{"code":"data-cleaning","name":"Data cleaning"},{"code":"inventory","name":"Inventory management"},{"code":"spreadsheets","name":"Spreadsheets"}],"requirements":"Comfortable with spreadsheet formulas and removing duplicates.","location":null,"work_mode":"remote","start_date":"2026-11-10","end_date":"2026-11-24","expected_hours":12.0,"compensation_type":"stipend","compensation_amount":150.0,"compensation_details":"Stipend paid at completion.","applicant_limit":1,"application_deadline":"2026-11-05T23:59:59Z","working_conditions":"Fully remote, self-paced.","safety_information":"Remote work; take regular screen breaks.","accessibility_details":"Remote; any assistive technology you already use is fine.","published_at":"2026-10-05T16:00:00Z","created_at":"2026-10-05T15:00:00Z","updated_at":"2026-10-28T06:03:07Z"},{"opportunity_id":12,"title":"Event photographer for community fun run","description":"Photograph the start, finish and award ceremony of a 5 km community run.","status":"open","category":{"code":"communit… [truncated]</x:v>
      </x:c>
      <x:c r="K171" s="89" t="str">
        <x:v>Case duration 245 ms</x:v>
      </x:c>
    </x:row>
    <x:row r="172" ht="35" customHeight="1">
      <x:c r="A172" s="89" t="str">
        <x:v>OPP-LIST-042</x:v>
      </x:c>
      <x:c r="B172" s="89" t="str">
        <x:v>Browse Opportunities</x:v>
      </x:c>
      <x:c r="C172" s="89" t="str">
        <x:v>Passed</x:v>
      </x:c>
      <x:c r="D172" s="89" t="n">
        <x:v>1</x:v>
      </x:c>
      <x:c r="E172" s="89" t="str">
        <x:v>GET</x:v>
      </x:c>
      <x:c r="F172" s="89" t="str">
        <x:v>/api/v1/opportunities</x:v>
      </x:c>
      <x:c r="G172" s="90" t="str">
        <x:v>null</x:v>
      </x:c>
      <x:c r="H172" s="90" t="str">
        <x:v>null</x:v>
      </x:c>
      <x:c r="I172" s="90" t="n">
        <x:v>200</x:v>
      </x:c>
      <x:c r="J172" s="90" t="str">
        <x:v>{"items":[{"opportunity_id":2,"title":"Inventory spreadsheet cleanup","description":"Merge three years of supplier spreadsheets into one clean inventory sheet.","status":"open","category":{"code":"knowledge","name":"Knowledge-based","description":"Digital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Bakery","organization_type":"small_business","city":"Calgary"},"skills":[{"code":"data-cleaning","name":"Data cleaning"},{"code":"inventory","name":"Inventory management"},{"code":"spreadsheets","name":"Spreadsheets"}],"requirements":"Comfortable with spreadsheet formulas and removing duplicates.","location":null,"work_mode":"remote","start_date":"2026-11-10","end_date":"2026-11-24","expected_hours":12.0,"compensation_type":"stipend","compensation_amount":150.0,"compensation_details":"Stipend paid at completion.","applicant_limit":1,"application_deadline":"2026-11-05T23:59:59Z","working_conditions":"Fully remote, self-paced.","safety_information":"Remote work; take regular screen breaks.","accessibility_details":"Remote; any assistive technology you already use is fine.","published_at":"2026-10-05T16:00:00Z","created_at":"2026-10-05T15:00:00Z","updated_at":"2026-10-28T06:03:07Z"},{"opportunity_id":12,"title":"Event photographer for community fun run","description":"Photograph the start, finish and award ceremony of a 5 km community run.","status":"open","category":{"code":"communit… [truncated]</x:v>
      </x:c>
      <x:c r="K172" s="89" t="str">
        <x:v>Case duration 271 ms</x:v>
      </x:c>
    </x:row>
    <x:row r="173" ht="35" customHeight="1">
      <x:c r="A173" s="89" t="str">
        <x:v>OPP-LIST-043</x:v>
      </x:c>
      <x:c r="B173" s="89" t="str">
        <x:v>Browse Opportunities</x:v>
      </x:c>
      <x:c r="C173" s="89" t="str">
        <x:v>Passed</x:v>
      </x:c>
      <x:c r="D173" s="89" t="n">
        <x:v>1</x:v>
      </x:c>
      <x:c r="E173" s="89" t="str">
        <x:v>GET</x:v>
      </x:c>
      <x:c r="F173" s="89" t="str">
        <x:v>/api/v1/opportunities</x:v>
      </x:c>
      <x:c r="G173" s="90" t="str">
        <x:v>{"limit":1}</x:v>
      </x:c>
      <x:c r="H173" s="90" t="str">
        <x:v>null</x:v>
      </x:c>
      <x:c r="I173" s="90" t="n">
        <x:v>200</x:v>
      </x:c>
      <x:c r="J173" s="90" t="str">
        <x:v>{"items":[{"opportunity_id":2,"title":"Inventory spreadsheet cleanup","description":"Merge three years of supplier spreadsheets into one clean inventory sheet.","status":"open","category":{"code":"knowledge","name":"Knowledge-based","description":"Digital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Bakery","organization_type":"small_business","city":"Calgary"},"skills":[{"code":"data-cleaning","name":"Data cleaning"},{"code":"inventory","name":"Inventory management"},{"code":"spreadsheets","name":"Spreadsheets"}],"requirements":"Comfortable with spreadsheet formulas and removing duplicates.","location":null,"work_mode":"remote","start_date":"2026-11-10","end_date":"2026-11-24","expected_hours":12.0,"compensation_type":"stipend","compensation_amount":150.0,"compensation_details":"Stipend paid at completion.","applicant_limit":1,"application_deadline":"2026-11-05T23:59:59Z","working_conditions":"Fully remote, self-paced.","safety_information":"Remote work; take regular screen breaks.","accessibility_details":"Remote; any assistive technology you already use is fine.","published_at":"2026-10-05T16:00:00Z","created_at":"2026-10-05T15:00:00Z","updated_at":"2026-10-28T06:03:07Z"}],"total":11,"limit":1,"offset":0}</x:v>
      </x:c>
      <x:c r="K173" s="89" t="str">
        <x:v>Case duration 297 ms</x:v>
      </x:c>
    </x:row>
    <x:row r="174" ht="35" customHeight="1">
      <x:c r="A174" s="89" t="str">
        <x:v>OPP-LIST-044</x:v>
      </x:c>
      <x:c r="B174" s="89" t="str">
        <x:v>Browse Opportunities</x:v>
      </x:c>
      <x:c r="C174" s="89" t="str">
        <x:v>Passed</x:v>
      </x:c>
      <x:c r="D174" s="89" t="n">
        <x:v>1</x:v>
      </x:c>
      <x:c r="E174" s="89" t="str">
        <x:v>GET</x:v>
      </x:c>
      <x:c r="F174" s="89" t="str">
        <x:v>/api/v1/opportunities</x:v>
      </x:c>
      <x:c r="G174" s="90" t="str">
        <x:v>{"limit":100}</x:v>
      </x:c>
      <x:c r="H174" s="90" t="str">
        <x:v>null</x:v>
      </x:c>
      <x:c r="I174" s="90" t="n">
        <x:v>200</x:v>
      </x:c>
      <x:c r="J174" s="90" t="str">
        <x:v>{"items":[{"opportunity_id":2,"title":"Inventory spreadsheet cleanup","description":"Merge three years of supplier spreadsheets into one clean inventory sheet.","status":"open","category":{"code":"knowledge","name":"Knowledge-based","description":"Digital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Bakery","organization_type":"small_business","city":"Calgary"},"skills":[{"code":"data-cleaning","name":"Data cleaning"},{"code":"inventory","name":"Inventory management"},{"code":"spreadsheets","name":"Spreadsheets"}],"requirements":"Comfortable with spreadsheet formulas and removing duplicates.","location":null,"work_mode":"remote","start_date":"2026-11-10","end_date":"2026-11-24","expected_hours":12.0,"compensation_type":"stipend","compensation_amount":150.0,"compensation_details":"Stipend paid at completion.","applicant_limit":1,"application_deadline":"2026-11-05T23:59:59Z","working_conditions":"Fully remote, self-paced.","safety_information":"Remote work; take regular screen breaks.","accessibility_details":"Remote; any assistive technology you already use is fine.","published_at":"2026-10-05T16:00:00Z","created_at":"2026-10-05T15:00:00Z","updated_at":"2026-10-28T06:03:08Z"},{"opportunity_id":12,"title":"Event photographer for community fun run","description":"Photograph the start, finish and award ceremony of a 5 km community run.","status":"open","category":{"code":"communit… [truncated]</x:v>
      </x:c>
      <x:c r="K174" s="89" t="str">
        <x:v>Case duration 257 ms</x:v>
      </x:c>
    </x:row>
    <x:row r="175" ht="35" customHeight="1">
      <x:c r="A175" s="89" t="str">
        <x:v>OPP-LIST-045</x:v>
      </x:c>
      <x:c r="B175" s="89" t="str">
        <x:v>Browse Opportunities</x:v>
      </x:c>
      <x:c r="C175" s="89" t="str">
        <x:v>Passed</x:v>
      </x:c>
      <x:c r="D175" s="89" t="n">
        <x:v>1</x:v>
      </x:c>
      <x:c r="E175" s="89" t="str">
        <x:v>GET</x:v>
      </x:c>
      <x:c r="F175" s="89" t="str">
        <x:v>/api/v1/opportunities</x:v>
      </x:c>
      <x:c r="G175" s="90" t="str">
        <x:v>{"limit":4,"offset":0}</x:v>
      </x:c>
      <x:c r="H175" s="90" t="str">
        <x:v>null</x:v>
      </x:c>
      <x:c r="I175" s="90" t="n">
        <x:v>200</x:v>
      </x:c>
      <x:c r="J175" s="90" t="str">
        <x:v>{"items":[{"opportunity_id":2,"title":"Inventory spreadsheet cleanup","description":"Merge three years of supplier spreadsheets into one clean inventory sheet.","status":"open","category":{"code":"knowledge","name":"Knowledge-based","description":"Digital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Bakery","organization_type":"small_business","city":"Calgary"},"skills":[{"code":"data-cleaning","name":"Data cleaning"},{"code":"inventory","name":"Inventory management"},{"code":"spreadsheets","name":"Spreadsheets"}],"requirements":"Comfortable with spreadsheet formulas and removing duplicates.","location":null,"work_mode":"remote","start_date":"2026-11-10","end_date":"2026-11-24","expected_hours":12.0,"compensation_type":"stipend","compensation_amount":150.0,"compensation_details":"Stipend paid at completion.","applicant_limit":1,"application_deadline":"2026-11-05T23:59:59Z","working_conditions":"Fully remote, self-paced.","safety_information":"Remote work; take regular screen breaks.","accessibility_details":"Remote; any assistive technology you already use is fine.","published_at":"2026-10-05T16:00:00Z","created_at":"2026-10-05T15:00:00Z","updated_at":"2026-10-28T06:03:08Z"},{"opportunity_id":12,"title":"Event photographer for community fun run","description":"Photograph the start, finish and award ceremony of a 5 km community run.","status":"open","category":{"code":"communit… [truncated]</x:v>
      </x:c>
      <x:c r="K175" s="89" t="str"/>
    </x:row>
    <x:row r="176" ht="35" customHeight="1">
      <x:c r="A176" s="89" t="str">
        <x:v>OPP-LIST-045</x:v>
      </x:c>
      <x:c r="B176" s="89" t="str">
        <x:v>Browse Opportunities</x:v>
      </x:c>
      <x:c r="C176" s="89" t="str">
        <x:v>Passed</x:v>
      </x:c>
      <x:c r="D176" s="89" t="n">
        <x:v>2</x:v>
      </x:c>
      <x:c r="E176" s="89" t="str">
        <x:v>GET</x:v>
      </x:c>
      <x:c r="F176" s="89" t="str">
        <x:v>/api/v1/opportunities</x:v>
      </x:c>
      <x:c r="G176" s="90" t="str">
        <x:v>{"limit":4,"offset":4}</x:v>
      </x:c>
      <x:c r="H176" s="90" t="str">
        <x:v>null</x:v>
      </x:c>
      <x:c r="I176" s="90" t="n">
        <x:v>200</x:v>
      </x:c>
      <x:c r="J176" s="90" t="str">
        <x:v>{"items":[{"opportunity_id":9,"title":"Event registration website refresh","description":"Refresh our static event registration page and make it mobile friendly.","status":"open","category":{"code":"knowledge","name":"Knowledge-based","description":"Digital support, data organization, record digitization and similar tasks."},"organization":{"organization_id":3,"name":"YYC Neighbourhood Events","organization_type":"event_organizer","city":"Calgary"},"skills":[{"code":"graphic-design","name":"Graphic design"},{"code":"web-basics","name":"Web basics (HTML/CSS)"}],"requirements":"HTML/CSS basics; share a link to something you have built.","location":"Calgary (Beltline)","work_mode":"hybrid","start_date":"2026-12-01","end_date":"2027-01-10","expected_hours":25.0,"compensation_type":"paid","compensation_amount":600.0,"compensation_details":"Paid in two milestones.","applicant_limit":1,"application_deadline":"2026-11-25T23:59:59Z","working_conditions":"Mostly remote; one kickoff meeting in person.","safety_information":"Remote work; meeting held in a public library room.","accessibility_details":"Kickoff can be held online instead.","published_at":"2026-10-03T20:00:00Z","created_at":"2026-10-03T19:00:00Z","updated_at":"2026-10-28T06:03:08Z"},{"opportunity_id":5,"title":"Weekend food hamper packing","description":"Pack and label food hampers for families on Saturday mornings.","status":"open","category":{"code":"community","name":"Community","description":"Physica… [truncated]</x:v>
      </x:c>
      <x:c r="K176" s="89" t="str">
        <x:v>Case duration 254 ms</x:v>
      </x:c>
    </x:row>
    <x:row r="177" ht="35" customHeight="1">
      <x:c r="A177" s="89" t="str">
        <x:v>OPP-LIST-046</x:v>
      </x:c>
      <x:c r="B177" s="89" t="str">
        <x:v>Browse Opportunities</x:v>
      </x:c>
      <x:c r="C177" s="89" t="str">
        <x:v>Passed</x:v>
      </x:c>
      <x:c r="D177" s="89" t="n">
        <x:v>1</x:v>
      </x:c>
      <x:c r="E177" s="89" t="str">
        <x:v>GET</x:v>
      </x:c>
      <x:c r="F177" s="89" t="str">
        <x:v>/api/v1/opportunities</x:v>
      </x:c>
      <x:c r="G177" s="90" t="str">
        <x:v>{"offset":999}</x:v>
      </x:c>
      <x:c r="H177" s="90" t="str">
        <x:v>null</x:v>
      </x:c>
      <x:c r="I177" s="90" t="n">
        <x:v>200</x:v>
      </x:c>
      <x:c r="J177" s="90" t="str">
        <x:v>{"items":[],"total":11,"limit":20,"offset":999}</x:v>
      </x:c>
      <x:c r="K177" s="89" t="str">
        <x:v>Case duration 186 ms</x:v>
      </x:c>
    </x:row>
    <x:row r="178" ht="35" customHeight="1">
      <x:c r="A178" s="89" t="str">
        <x:v>OPP-LIST-047</x:v>
      </x:c>
      <x:c r="B178" s="89" t="str">
        <x:v>Browse Opportunities</x:v>
      </x:c>
      <x:c r="C178" s="89" t="str">
        <x:v>Passed</x:v>
      </x:c>
      <x:c r="D178" s="89" t="n">
        <x:v>1</x:v>
      </x:c>
      <x:c r="E178" s="89" t="str">
        <x:v>GET</x:v>
      </x:c>
      <x:c r="F178" s="89" t="str">
        <x:v>/api/v1/opportunities</x:v>
      </x:c>
      <x:c r="G178" s="90" t="str">
        <x:v>{"sort":"-hours","limit":100}</x:v>
      </x:c>
      <x:c r="H178" s="90" t="str">
        <x:v>null</x:v>
      </x:c>
      <x:c r="I178" s="90" t="n">
        <x:v>200</x:v>
      </x:c>
      <x:c r="J178" s="90" t="str">
        <x:v>{"items":[{"opportunity_id":6,"title":"Donor database deduplication","description":"Find and merge duplicate donor records in our CRM export before year-end receipts.","status":"open","category":{"code":"knowledge","name":"Knowledge-based","description":"Digital support, data organization, record digitization and similar tasks."},"organization":{"organization_id":2,"name":"Bow River Community Food Bank","organization_type":"nonprofit","city":"Calgary"},"skills":[{"code":"data-cleaning","name":"Data cleaning"},{"code":"data-entry","name":"Data entry"},{"code":"spreadsheets","name":"Spreadsheets"}],"requirements":"Experience with spreadsheets or basic data cleaning; confidentiality agreement required.","location":null,"work_mode":"remote","start_date":"2027-01-05","end_date":"2027-02-15","expected_hours":30.0,"compensation_type":"stipend","compensation_amount":250.0,"compensation_details":"Stipend paid on verification.","applicant_limit":2,"application_deadline":"2026-12-15T23:59:59Z","working_conditions":"Remote, around 5 hours per week.","safety_information":"Remote work; personal data must stay on the provided laptop.","accessibility_details":"Remote; screen-reader friendly spreadsheets on request.","published_at":"2026-10-12T18:00:00Z","created_at":"2026-10-12T17:00:00Z","updated_at":"2026-10-28T06:03:08Z"},{"opportunity_id":9,"title":"Event registration website refresh","description":"Refresh our static event registration page and make it mobile friendl… [truncated]</x:v>
      </x:c>
      <x:c r="K178" s="89" t="str"/>
    </x:row>
    <x:row r="179" ht="35" customHeight="1">
      <x:c r="A179" s="89" t="str">
        <x:v>OPP-LIST-047</x:v>
      </x:c>
      <x:c r="B179" s="89" t="str">
        <x:v>Browse Opportunities</x:v>
      </x:c>
      <x:c r="C179" s="89" t="str">
        <x:v>Passed</x:v>
      </x:c>
      <x:c r="D179" s="89" t="n">
        <x:v>2</x:v>
      </x:c>
      <x:c r="E179" s="89" t="str">
        <x:v>GET</x:v>
      </x:c>
      <x:c r="F179" s="89" t="str">
        <x:v>/api/v1/opportunities</x:v>
      </x:c>
      <x:c r="G179" s="90" t="str">
        <x:v>{"sort":"-hours","limit":100}</x:v>
      </x:c>
      <x:c r="H179" s="90" t="str">
        <x:v>null</x:v>
      </x:c>
      <x:c r="I179" s="90" t="n">
        <x:v>200</x:v>
      </x:c>
      <x:c r="J179" s="90" t="str">
        <x:v>{"items":[{"opportunity_id":6,"title":"Donor database deduplication","description":"Find and merge duplicate donor records in our CRM export before year-end receipts.","status":"open","category":{"code":"knowledge","name":"Knowledge-based","description":"Digital support, data organization, record digitization and similar tasks."},"organization":{"organization_id":2,"name":"Bow River Community Food Bank","organization_type":"nonprofit","city":"Calgary"},"skills":[{"code":"data-cleaning","name":"Data cleaning"},{"code":"data-entry","name":"Data entry"},{"code":"spreadsheets","name":"Spreadsheets"}],"requirements":"Experience with spreadsheets or basic data cleaning; confidentiality agreement required.","location":null,"work_mode":"remote","start_date":"2027-01-05","end_date":"2027-02-15","expected_hours":30.0,"compensation_type":"stipend","compensation_amount":250.0,"compensation_details":"Stipend paid on verification.","applicant_limit":2,"application_deadline":"2026-12-15T23:59:59Z","working_conditions":"Remote, around 5 hours per week.","safety_information":"Remote work; personal data must stay on the provided laptop.","accessibility_details":"Remote; screen-reader friendly spreadsheets on request.","published_at":"2026-10-12T18:00:00Z","created_at":"2026-10-12T17:00:00Z","updated_at":"2026-10-28T06:03:08Z"},{"opportunity_id":9,"title":"Event registration website refresh","description":"Refresh our static event registration page and make it mobile friendl… [truncated]</x:v>
      </x:c>
      <x:c r="K179" s="89" t="str">
        <x:v>Case duration 210 ms</x:v>
      </x:c>
    </x:row>
    <x:row r="180" ht="35" customHeight="1">
      <x:c r="A180" s="89" t="str">
        <x:v>OPP-LIST-048</x:v>
      </x:c>
      <x:c r="B180" s="89" t="str">
        <x:v>Browse Opportunities</x:v>
      </x:c>
      <x:c r="C180" s="89" t="str">
        <x:v>Passed</x:v>
      </x:c>
      <x:c r="D180" s="89" t="n">
        <x:v>1</x:v>
      </x:c>
      <x:c r="E180" s="89" t="str">
        <x:v>GET</x:v>
      </x:c>
      <x:c r="F180" s="89" t="str">
        <x:v>/api/v1/opportunities</x:v>
      </x:c>
      <x:c r="G180" s="90" t="str">
        <x:v>{"limit":0}</x:v>
      </x:c>
      <x:c r="H180" s="90" t="str">
        <x:v>null</x:v>
      </x:c>
      <x:c r="I180" s="90" t="n">
        <x:v>422</x:v>
      </x:c>
      <x:c r="J180" s="90" t="str">
        <x:v>{"error":{"code":"VALIDATION_ERROR","message":"Request validation failed","details":[{"loc":["query","limit"],"message":"Input should be greater than or equal to 1","type":"greater_than_equal"}]}}</x:v>
      </x:c>
      <x:c r="K180" s="89" t="str">
        <x:v>Case duration 166 ms</x:v>
      </x:c>
    </x:row>
    <x:row r="181" ht="35" customHeight="1">
      <x:c r="A181" s="89" t="str">
        <x:v>OPP-LIST-049</x:v>
      </x:c>
      <x:c r="B181" s="89" t="str">
        <x:v>Browse Opportunities</x:v>
      </x:c>
      <x:c r="C181" s="89" t="str">
        <x:v>Passed</x:v>
      </x:c>
      <x:c r="D181" s="89" t="n">
        <x:v>1</x:v>
      </x:c>
      <x:c r="E181" s="89" t="str">
        <x:v>GET</x:v>
      </x:c>
      <x:c r="F181" s="89" t="str">
        <x:v>/api/v1/opportunities</x:v>
      </x:c>
      <x:c r="G181" s="90" t="str">
        <x:v>{"limit":101}</x:v>
      </x:c>
      <x:c r="H181" s="90" t="str">
        <x:v>null</x:v>
      </x:c>
      <x:c r="I181" s="90" t="n">
        <x:v>422</x:v>
      </x:c>
      <x:c r="J181" s="90" t="str">
        <x:v>{"error":{"code":"VALIDATION_ERROR","message":"Request validation failed","details":[{"loc":["query","limit"],"message":"Input should be less than or equal to 100","type":"less_than_equal"}]}}</x:v>
      </x:c>
      <x:c r="K181" s="89" t="str">
        <x:v>Case duration 147 ms</x:v>
      </x:c>
    </x:row>
    <x:row r="182" ht="35" customHeight="1">
      <x:c r="A182" s="89" t="str">
        <x:v>OPP-LIST-050</x:v>
      </x:c>
      <x:c r="B182" s="89" t="str">
        <x:v>Browse Opportunities</x:v>
      </x:c>
      <x:c r="C182" s="89" t="str">
        <x:v>Passed</x:v>
      </x:c>
      <x:c r="D182" s="89" t="n">
        <x:v>1</x:v>
      </x:c>
      <x:c r="E182" s="89" t="str">
        <x:v>GET</x:v>
      </x:c>
      <x:c r="F182" s="89" t="str">
        <x:v>/api/v1/opportunities</x:v>
      </x:c>
      <x:c r="G182" s="90" t="str">
        <x:v>{"offset":-1}</x:v>
      </x:c>
      <x:c r="H182" s="90" t="str">
        <x:v>null</x:v>
      </x:c>
      <x:c r="I182" s="90" t="n">
        <x:v>422</x:v>
      </x:c>
      <x:c r="J182" s="90" t="str">
        <x:v>{"error":{"code":"VALIDATION_ERROR","message":"Request validation failed","details":[{"loc":["query","offset"],"message":"Input should be greater than or equal to 0","type":"greater_than_equal"}]}}</x:v>
      </x:c>
      <x:c r="K182" s="89" t="str">
        <x:v>Case duration 174 ms</x:v>
      </x:c>
    </x:row>
    <x:row r="183" ht="35" customHeight="1">
      <x:c r="A183" s="89" t="str">
        <x:v>OPP-LIST-051</x:v>
      </x:c>
      <x:c r="B183" s="89" t="str">
        <x:v>Browse Opportunities</x:v>
      </x:c>
      <x:c r="C183" s="89" t="str">
        <x:v>Passed</x:v>
      </x:c>
      <x:c r="D183" s="89" t="n">
        <x:v>1</x:v>
      </x:c>
      <x:c r="E183" s="89" t="str">
        <x:v>GET</x:v>
      </x:c>
      <x:c r="F183" s="89" t="str">
        <x:v>/api/v1/opportunities</x:v>
      </x:c>
      <x:c r="G183" s="90" t="str">
        <x:v>{"q":""}</x:v>
      </x:c>
      <x:c r="H183" s="90" t="str">
        <x:v>null</x:v>
      </x:c>
      <x:c r="I183" s="90" t="n">
        <x:v>422</x:v>
      </x:c>
      <x:c r="J183" s="90" t="str">
        <x:v>{"error":{"code":"VALIDATION_ERROR","message":"Request validation failed","details":[{"loc":["query","q"],"message":"String should have at least 1 character","type":"string_too_short"}]}}</x:v>
      </x:c>
      <x:c r="K183" s="89" t="str">
        <x:v>Case duration 157 ms</x:v>
      </x:c>
    </x:row>
    <x:row r="184" ht="35" customHeight="1">
      <x:c r="A184" s="89" t="str">
        <x:v>OPP-LIST-052</x:v>
      </x:c>
      <x:c r="B184" s="89" t="str">
        <x:v>Browse Opportunities</x:v>
      </x:c>
      <x:c r="C184" s="89" t="str">
        <x:v>Passed</x:v>
      </x:c>
      <x:c r="D184" s="89" t="n">
        <x:v>1</x:v>
      </x:c>
      <x:c r="E184" s="89" t="str">
        <x:v>GET</x:v>
      </x:c>
      <x:c r="F184" s="89" t="str">
        <x:v>/api/v1/opportunities</x:v>
      </x:c>
      <x:c r="G184" s="90" t="str">
        <x:v>{"q":"zzzzzzzzzzzzzzzzzzzzzzzzzzzzzzzzzzzzzzzzzzzzzzzzzzzzzzzzzzzzzzzzzzzzzzzzzzzzzzzzzzzzzzzzzzzzzzzzzzzzz"}</x:v>
      </x:c>
      <x:c r="H184" s="90" t="str">
        <x:v>null</x:v>
      </x:c>
      <x:c r="I184" s="90" t="n">
        <x:v>422</x:v>
      </x:c>
      <x:c r="J184" s="90" t="str">
        <x:v>{"error":{"code":"VALIDATION_ERROR","message":"Request validation failed","details":[{"loc":["query","q"],"message":"String should have at most 100 characters","type":"string_too_long"}]}}</x:v>
      </x:c>
      <x:c r="K184" s="89" t="str">
        <x:v>Case duration 189 ms</x:v>
      </x:c>
    </x:row>
    <x:row r="185" ht="35" customHeight="1">
      <x:c r="A185" s="89" t="str">
        <x:v>OPP-LIST-053</x:v>
      </x:c>
      <x:c r="B185" s="89" t="str">
        <x:v>Browse Opportunities</x:v>
      </x:c>
      <x:c r="C185" s="89" t="str">
        <x:v>Passed</x:v>
      </x:c>
      <x:c r="D185" s="89" t="n">
        <x:v>1</x:v>
      </x:c>
      <x:c r="E185" s="89" t="str">
        <x:v>GET</x:v>
      </x:c>
      <x:c r="F185" s="89" t="str">
        <x:v>/api/v1/opportunities</x:v>
      </x:c>
      <x:c r="G185" s="90" t="str">
        <x:v>{"work_mode":"not-supported"}</x:v>
      </x:c>
      <x:c r="H185" s="90" t="str">
        <x:v>null</x:v>
      </x:c>
      <x:c r="I185" s="90" t="n">
        <x:v>422</x:v>
      </x:c>
      <x:c r="J185" s="90" t="str">
        <x:v>{"error":{"code":"VALIDATION_ERROR","message":"Request validation failed","details":[{"loc":["query","work_mode"],"message":"Input should be 'on_site', 'remote' or 'hybrid'","type":"enum"}]}}</x:v>
      </x:c>
      <x:c r="K185" s="89" t="str">
        <x:v>Case duration 140 ms</x:v>
      </x:c>
    </x:row>
    <x:row r="186" ht="35" customHeight="1">
      <x:c r="A186" s="89" t="str">
        <x:v>OPP-LIST-054</x:v>
      </x:c>
      <x:c r="B186" s="89" t="str">
        <x:v>Browse Opportunities</x:v>
      </x:c>
      <x:c r="C186" s="89" t="str">
        <x:v>Passed</x:v>
      </x:c>
      <x:c r="D186" s="89" t="n">
        <x:v>1</x:v>
      </x:c>
      <x:c r="E186" s="89" t="str">
        <x:v>GET</x:v>
      </x:c>
      <x:c r="F186" s="89" t="str">
        <x:v>/api/v1/opportunities</x:v>
      </x:c>
      <x:c r="G186" s="90" t="str">
        <x:v>{"compensation_type":"crypto"}</x:v>
      </x:c>
      <x:c r="H186" s="90" t="str">
        <x:v>null</x:v>
      </x:c>
      <x:c r="I186" s="90" t="n">
        <x:v>422</x:v>
      </x:c>
      <x:c r="J186" s="90" t="str">
        <x:v>{"error":{"code":"VALIDATION_ERROR","message":"Request validation failed","details":[{"loc":["query","compensation_type"],"message":"Input should be 'paid', 'stipend' or 'unpaid'","type":"enum"}]}}</x:v>
      </x:c>
      <x:c r="K186" s="89" t="str">
        <x:v>Case duration 153 ms</x:v>
      </x:c>
    </x:row>
    <x:row r="187" ht="35" customHeight="1">
      <x:c r="A187" s="89" t="str">
        <x:v>OPP-LIST-055</x:v>
      </x:c>
      <x:c r="B187" s="89" t="str">
        <x:v>Browse Opportunities</x:v>
      </x:c>
      <x:c r="C187" s="89" t="str">
        <x:v>Passed</x:v>
      </x:c>
      <x:c r="D187" s="89" t="n">
        <x:v>1</x:v>
      </x:c>
      <x:c r="E187" s="89" t="str">
        <x:v>GET</x:v>
      </x:c>
      <x:c r="F187" s="89" t="str">
        <x:v>/api/v1/opportunities</x:v>
      </x:c>
      <x:c r="G187" s="90" t="str">
        <x:v>{"sort":"random"}</x:v>
      </x:c>
      <x:c r="H187" s="90" t="str">
        <x:v>null</x:v>
      </x:c>
      <x:c r="I187" s="90" t="n">
        <x:v>422</x:v>
      </x:c>
      <x:c r="J187" s="90" t="str">
        <x:v>{"error":{"code":"VALIDATION_ERROR","message":"Request validation failed","details":[{"loc":["query","sort"],"message":"Input should be 'deadline', '-deadline', 'newest', 'oldest', 'hours', '-hours', 'compensation', '-compensation' or 'title'","type":"enum"}]}}</x:v>
      </x:c>
      <x:c r="K187" s="89" t="str">
        <x:v>Case duration 225 ms</x:v>
      </x:c>
    </x:row>
    <x:row r="188" ht="35" customHeight="1">
      <x:c r="A188" s="89" t="str">
        <x:v>OPP-LIST-056</x:v>
      </x:c>
      <x:c r="B188" s="89" t="str">
        <x:v>Browse Opportunities</x:v>
      </x:c>
      <x:c r="C188" s="89" t="str">
        <x:v>Passed</x:v>
      </x:c>
      <x:c r="D188" s="89" t="n">
        <x:v>1</x:v>
      </x:c>
      <x:c r="E188" s="89" t="str">
        <x:v>GET</x:v>
      </x:c>
      <x:c r="F188" s="89" t="str">
        <x:v>/api/v1/opportunities</x:v>
      </x:c>
      <x:c r="G188" s="90" t="str">
        <x:v>{"organization_id":0}</x:v>
      </x:c>
      <x:c r="H188" s="90" t="str">
        <x:v>null</x:v>
      </x:c>
      <x:c r="I188" s="90" t="n">
        <x:v>422</x:v>
      </x:c>
      <x:c r="J188" s="90" t="str">
        <x:v>{"error":{"code":"VALIDATION_ERROR","message":"Request validation failed","details":[{"loc":["query","organization_id"],"message":"Input should be greater than or equal to 1","type":"greater_than_equal"}]}}</x:v>
      </x:c>
      <x:c r="K188" s="89" t="str">
        <x:v>Case duration 156 ms</x:v>
      </x:c>
    </x:row>
    <x:row r="189" ht="35" customHeight="1">
      <x:c r="A189" s="89" t="str">
        <x:v>OPP-LIST-057</x:v>
      </x:c>
      <x:c r="B189" s="89" t="str">
        <x:v>Browse Opportunities</x:v>
      </x:c>
      <x:c r="C189" s="89" t="str">
        <x:v>Passed</x:v>
      </x:c>
      <x:c r="D189" s="89" t="n">
        <x:v>1</x:v>
      </x:c>
      <x:c r="E189" s="89" t="str">
        <x:v>GET</x:v>
      </x:c>
      <x:c r="F189" s="89" t="str">
        <x:v>/api/v1/opportunities</x:v>
      </x:c>
      <x:c r="G189" s="90" t="str">
        <x:v>{"deadline_before":"2026-11-13T00:00:00"}</x:v>
      </x:c>
      <x:c r="H189" s="90" t="str">
        <x:v>null</x:v>
      </x:c>
      <x:c r="I189" s="90" t="n">
        <x:v>422</x:v>
      </x:c>
      <x:c r="J189" s="90" t="str">
        <x:v>{"error":{"code":"VALIDATION_ERROR","message":"Request validation failed","details":[{"loc":["query","deadline_before"],"message":"Input should have timezone info","type":"timezone_aware"}]}}</x:v>
      </x:c>
      <x:c r="K189" s="89" t="str">
        <x:v>Case duration 154 ms</x:v>
      </x:c>
    </x:row>
    <x:row r="190" ht="35" customHeight="1">
      <x:c r="A190" s="89" t="str">
        <x:v>OPP-LIST-058</x:v>
      </x:c>
      <x:c r="B190" s="89" t="str">
        <x:v>Browse Opportunities</x:v>
      </x:c>
      <x:c r="C190" s="89" t="str">
        <x:v>Passed</x:v>
      </x:c>
      <x:c r="D190" s="89" t="n">
        <x:v>1</x:v>
      </x:c>
      <x:c r="E190" s="89" t="str">
        <x:v>GET</x:v>
      </x:c>
      <x:c r="F190" s="89" t="str">
        <x:v>/api/v1/opportunities</x:v>
      </x:c>
      <x:c r="G190" s="90" t="str">
        <x:v>{"min_hours":-1}</x:v>
      </x:c>
      <x:c r="H190" s="90" t="str">
        <x:v>null</x:v>
      </x:c>
      <x:c r="I190" s="90" t="n">
        <x:v>422</x:v>
      </x:c>
      <x:c r="J190" s="90" t="str">
        <x:v>{"error":{"code":"VALIDATION_ERROR","message":"Request validation failed","details":[{"loc":["query","min_hours"],"message":"Input should be greater than or equal to 0","type":"greater_than_equal"}]}}</x:v>
      </x:c>
      <x:c r="K190" s="89" t="str"/>
    </x:row>
    <x:row r="191" ht="35" customHeight="1">
      <x:c r="A191" s="89" t="str">
        <x:v>OPP-LIST-058</x:v>
      </x:c>
      <x:c r="B191" s="89" t="str">
        <x:v>Browse Opportunities</x:v>
      </x:c>
      <x:c r="C191" s="89" t="str">
        <x:v>Passed</x:v>
      </x:c>
      <x:c r="D191" s="89" t="n">
        <x:v>2</x:v>
      </x:c>
      <x:c r="E191" s="89" t="str">
        <x:v>GET</x:v>
      </x:c>
      <x:c r="F191" s="89" t="str">
        <x:v>/api/v1/opportunities</x:v>
      </x:c>
      <x:c r="G191" s="90" t="str">
        <x:v>{"max_hours":-1}</x:v>
      </x:c>
      <x:c r="H191" s="90" t="str">
        <x:v>null</x:v>
      </x:c>
      <x:c r="I191" s="90" t="n">
        <x:v>422</x:v>
      </x:c>
      <x:c r="J191" s="90" t="str">
        <x:v>{"error":{"code":"VALIDATION_ERROR","message":"Request validation failed","details":[{"loc":["query","max_hours"],"message":"Input should be greater than or equal to 0","type":"greater_than_equal"}]}}</x:v>
      </x:c>
      <x:c r="K191" s="89" t="str">
        <x:v>Case duration 164 ms</x:v>
      </x:c>
    </x:row>
    <x:row r="192" ht="35" customHeight="1">
      <x:c r="A192" s="89" t="str">
        <x:v>OPP-LIST-059</x:v>
      </x:c>
      <x:c r="B192" s="89" t="str">
        <x:v>Browse Opportunities</x:v>
      </x:c>
      <x:c r="C192" s="89" t="str">
        <x:v>Passed</x:v>
      </x:c>
      <x:c r="D192" s="89" t="n">
        <x:v>1</x:v>
      </x:c>
      <x:c r="E192" s="89" t="str">
        <x:v>GET</x:v>
      </x:c>
      <x:c r="F192" s="89" t="str">
        <x:v>/api/v1/opportunities</x:v>
      </x:c>
      <x:c r="G192" s="90" t="str">
        <x:v>{"category":"knowledge","skill":"spreadsheets","work_mode":"remote"}</x:v>
      </x:c>
      <x:c r="H192" s="90" t="str">
        <x:v>null</x:v>
      </x:c>
      <x:c r="I192" s="90" t="n">
        <x:v>200</x:v>
      </x:c>
      <x:c r="J192" s="90" t="str">
        <x:v>{"items":[{"opportunity_id":2,"title":"Inventory spreadsheet cleanup","description":"Merge three years of supplier spreadsheets into one clean inventory sheet.","status":"open","category":{"code":"knowledge","name":"Knowledge-based","description":"Digital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Bakery","organization_type":"small_business","city":"Calgary"},"skills":[{"code":"data-cleaning","name":"Data cleaning"},{"code":"inventory","name":"Inventory management"},{"code":"spreadsheets","name":"Spreadsheets"}],"requirements":"Comfortable with spreadsheet formulas and removing duplicates.","location":null,"work_mode":"remote","start_date":"2026-11-10","end_date":"2026-11-24","expected_hours":12.0,"compensation_type":"stipend","compensation_amount":150.0,"compensation_details":"Stipend paid at completion.","applicant_limit":1,"application_deadline":"2026-11-05T23:59:59Z","working_conditions":"Fully remote, self-paced.","safety_information":"Remote work; take regular screen breaks.","accessibility_details":"Remote; any assistive technology you already use is fine.","published_at":"2026-10-05T16:00:00Z","created_at":"2026-10-05T15:00:00Z","updated_at":"2026-10-28T06:03:10Z"},{"opportunity_id":6,"title":"Donor database deduplication","description":"Find and merge duplicate donor records in our CRM export before year-end receipts.","status":"open","category":{"code":"knowledge",… [truncated]</x:v>
      </x:c>
      <x:c r="K192" s="89" t="str">
        <x:v>Case duration 251 ms</x:v>
      </x:c>
    </x:row>
    <x:row r="193" ht="35" customHeight="1">
      <x:c r="A193" s="89" t="str">
        <x:v>OPP-LIST-060</x:v>
      </x:c>
      <x:c r="B193" s="89" t="str">
        <x:v>Browse Opportunities</x:v>
      </x:c>
      <x:c r="C193" s="89" t="str">
        <x:v>Passed</x:v>
      </x:c>
      <x:c r="D193" s="89" t="n">
        <x:v>1</x:v>
      </x:c>
      <x:c r="E193" s="89" t="str">
        <x:v>GET</x:v>
      </x:c>
      <x:c r="F193" s="89" t="str">
        <x:v>/api/v1/opportunities</x:v>
      </x:c>
      <x:c r="G193" s="90" t="str">
        <x:v>{"compensation_type":"paid","min_hours":10,"max_hours":25,"deadline_before":"2026-12-01T00:00:00Z"}</x:v>
      </x:c>
      <x:c r="H193" s="90" t="str">
        <x:v>null</x:v>
      </x:c>
      <x:c r="I193" s="90" t="n">
        <x:v>200</x:v>
      </x:c>
      <x:c r="J193" s="90" t="str">
        <x:v>{"items":[{"opportunity_id":3,"title":"Social media content calendar for the holiday season","description":"Plan and draft six weeks of Instagram posts, including product photos.","status":"open","category":{"code":"knowledge","name":"Knowledge-based","description":"Digital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Bakery","organization_type":"small_business","city":"Calgary"},"skills":[{"code":"graphic-design","name":"Graphic design"},{"code":"photography","name":"Photography"},{"code":"social-media","name":"Social media"}],"requirements":"Portfolio or examples of previous social media work.","location":"Calgary (Kensington)","work_mode":"hybrid","start_date":"2026-11-16","end_date":"2026-12-20","expected_hours":15.0,"compensation_type":"paid","compensation_amount":300.0,"compensation_details":"Paid in two instalments.","applicant_limit":2,"application_deadline":"2026-11-12T23:59:59Z","working_conditions":"Two short photo sessions in the bakery; the rest remote.","safety_information":"Kitchen areas are hot; stay behind the counter line during photo sessions.","accessibility_details":"Step-free entrance; photo sessions can be scheduled around your needs.","published_at":"2026-10-08T17:00:00Z","created_at":"2026-10-08T16:00:00Z","updated_at":"2026-10-28T06:03:11Z"},{"opportunity_id":1,"title":"Digitize paper recipe archive","description":"Scan and transcribe about 300 handwr… [truncated]</x:v>
      </x:c>
      <x:c r="K193" s="89" t="str">
        <x:v>Case duration 164 ms</x:v>
      </x:c>
    </x:row>
    <x:row r="194" ht="35" customHeight="1">
      <x:c r="A194" s="89" t="str">
        <x:v>OPP-LIST-061</x:v>
      </x:c>
      <x:c r="B194" s="89" t="str">
        <x:v>Browse Opportunities</x:v>
      </x:c>
      <x:c r="C194" s="89" t="str">
        <x:v>Passed</x:v>
      </x:c>
      <x:c r="D194" s="89" t="n">
        <x:v>1</x:v>
      </x:c>
      <x:c r="E194" s="89" t="str">
        <x:v>GET</x:v>
      </x:c>
      <x:c r="F194" s="89" t="str">
        <x:v>/api/v1/opportunities</x:v>
      </x:c>
      <x:c r="G194" s="90" t="str">
        <x:v>{"q":"spreadsheet","category":"knowledge","sort":"title","limit":1,"offset":0}</x:v>
      </x:c>
      <x:c r="H194" s="90" t="str">
        <x:v>null</x:v>
      </x:c>
      <x:c r="I194" s="90" t="n">
        <x:v>200</x:v>
      </x:c>
      <x:c r="J194" s="90" t="str">
        <x:v>{"items":[{"opportunity_id":1,"title":"Digitize paper recipe archive","description":"Scan and transcribe about 300 handwritten recipe cards into a structured spreadsheet.","status":"open","category":{"code":"knowledge","name":"Knowledge-based","description":"Digital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Bakery","organization_type":"small_business","city":"Calgary"},"skills":[{"code":"data-entry","name":"Data entry"},{"code":"spreadsheets","name":"Spreadsheets"}],"requirements":"Careful typing, basic spreadsheet skills. Scanner provided on site.","location":"Calgary (Kensington)","work_mode":"hybrid","start_date":"2026-11-25","end_date":"2026-12-12","expected_hours":20.0,"compensation_type":"paid","compensation_amount":400.0,"compensation_details":"Flat fee, paid by e-transfer after verification.","applicant_limit":2,"application_deadline":"2026-11-20T23:59:59Z","working_conditions":"Flexible hours; scanning on site, transcription from home.","safety_information":"Standard office setting; no hazards beyond normal computer use.","accessibility_details":"Step-free entrance; adjustable-height desk available.","published_at":"2026-10-01T15:00:00Z","created_at":"2026-09-30T18:00:00Z","updated_at":"2026-10-28T06:03:11Z"}],"total":2,"limit":1,"offset":0}</x:v>
      </x:c>
      <x:c r="K194" s="89" t="str">
        <x:v>Case duration 172 ms</x:v>
      </x:c>
    </x:row>
    <x:row r="195" ht="35" customHeight="1">
      <x:c r="A195" s="89" t="str">
        <x:v>MINE-001</x:v>
      </x:c>
      <x:c r="B195" s="89" t="str">
        <x:v>My Opportunities</x:v>
      </x:c>
      <x:c r="C195" s="89" t="str">
        <x:v>Passed</x:v>
      </x:c>
      <x:c r="D195" s="89" t="n">
        <x:v>1</x:v>
      </x:c>
      <x:c r="E195" s="89" t="str">
        <x:v>POST</x:v>
      </x:c>
      <x:c r="F195" s="89" t="str">
        <x:v>/api/v1/auth/login</x:v>
      </x:c>
      <x:c r="G195" s="90" t="str">
        <x:v>null</x:v>
      </x:c>
      <x:c r="H195" s="90" t="str">
        <x:v>{"email":"maple.bakery@grow8.dev","password":"&lt;redacted&gt;"}</x:v>
      </x:c>
      <x:c r="I195" s="90" t="n">
        <x:v>200</x:v>
      </x:c>
      <x:c r="J195" s="90" t="str">
        <x:v>{"access_token":"&lt;redacted&gt;","token_type":"bearer","expires_in":3600,"user":{"user_id":2,"email":"maple.bakery@grow8.dev","full_name":"Priya Nair","role":"creator"}}</x:v>
      </x:c>
      <x:c r="K195" s="89" t="str"/>
    </x:row>
    <x:row r="196" ht="35" customHeight="1">
      <x:c r="A196" s="89" t="str">
        <x:v>MINE-001</x:v>
      </x:c>
      <x:c r="B196" s="89" t="str">
        <x:v>My Opportunities</x:v>
      </x:c>
      <x:c r="C196" s="89" t="str">
        <x:v>Passed</x:v>
      </x:c>
      <x:c r="D196" s="89" t="n">
        <x:v>2</x:v>
      </x:c>
      <x:c r="E196" s="89" t="str">
        <x:v>GET</x:v>
      </x:c>
      <x:c r="F196" s="89" t="str">
        <x:v>/api/v1/opportunities/mine</x:v>
      </x:c>
      <x:c r="G196" s="90" t="str">
        <x:v>null</x:v>
      </x:c>
      <x:c r="H196" s="90" t="str">
        <x:v>null</x:v>
      </x:c>
      <x:c r="I196" s="90" t="n">
        <x:v>200</x:v>
      </x:c>
      <x:c r="J196" s="90" t="str">
        <x:v>{"items":[{"opportunity_id":14,"title":"Point-of-sale menu photo shoot","description":"Photograph our menu items for the new point-of-sale screens.","status":"draft","category":{"code":"knowledge","name":"Knowledge-based","description":"Digital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Bakery","organization_type":"small_business","city":"Calgary"},"skills":[{"code":"photography","name":"Photography"}],"requirements":null,"location":"Calgary (Kensington)","work_mode":"on_site","start_date":null,"end_date":null,"expected_hours":6.0,"compensation_type":"paid","compensation_amount":null,"compensation_details":null,"applicant_limit":1,"application_deadline":null,"working_conditions":null,"safety_information":null,"accessibility_details":null,"published_at":null,"created_at":"2026-10-13T15:00:00Z","updated_at":"2026-10-28T06:03:11Z"},{"opportunity_id":4,"title":"Holiday market booth assistant","description":"Help run the bakery stall at the weekend holiday market: serving, restocking and payments.","status":"open","category":{"code":"community","name":"Community","description":"Physical tasks, community activities and event-based support."},"organization":{"organization_id":1,"name":"Maple Street Bakery","organization_type":"small_business","city":"Calgary"},"skills":[{"code":"customer-service","name":"Customer service"},{"code":"food-handling","name":"Food handling"}],"requireme… [truncated]</x:v>
      </x:c>
      <x:c r="K196" s="89" t="str">
        <x:v>Case duration 591 ms</x:v>
      </x:c>
    </x:row>
    <x:row r="197" ht="35" customHeight="1">
      <x:c r="A197" s="89" t="str">
        <x:v>MINE-002</x:v>
      </x:c>
      <x:c r="B197" s="89" t="str">
        <x:v>My Opportunities</x:v>
      </x:c>
      <x:c r="C197" s="89" t="str">
        <x:v>Passed</x:v>
      </x:c>
      <x:c r="D197" s="89" t="n">
        <x:v>1</x:v>
      </x:c>
      <x:c r="E197" s="89" t="str">
        <x:v>POST</x:v>
      </x:c>
      <x:c r="F197" s="89" t="str">
        <x:v>/api/v1/auth/login</x:v>
      </x:c>
      <x:c r="G197" s="90" t="str">
        <x:v>null</x:v>
      </x:c>
      <x:c r="H197" s="90" t="str">
        <x:v>{"email":"maple.bakery@grow8.dev","password":"&lt;redacted&gt;"}</x:v>
      </x:c>
      <x:c r="I197" s="90" t="n">
        <x:v>200</x:v>
      </x:c>
      <x:c r="J197" s="90" t="str">
        <x:v>{"access_token":"&lt;redacted&gt;","token_type":"bearer","expires_in":3600,"user":{"user_id":2,"email":"maple.bakery@grow8.dev","full_name":"Priya Nair","role":"creator"}}</x:v>
      </x:c>
      <x:c r="K197" s="89" t="str"/>
    </x:row>
    <x:row r="198" ht="35" customHeight="1">
      <x:c r="A198" s="89" t="str">
        <x:v>MINE-002</x:v>
      </x:c>
      <x:c r="B198" s="89" t="str">
        <x:v>My Opportunities</x:v>
      </x:c>
      <x:c r="C198" s="89" t="str">
        <x:v>Passed</x:v>
      </x:c>
      <x:c r="D198" s="89" t="n">
        <x:v>2</x:v>
      </x:c>
      <x:c r="E198" s="89" t="str">
        <x:v>GET</x:v>
      </x:c>
      <x:c r="F198" s="89" t="str">
        <x:v>/api/v1/opportunities/mine</x:v>
      </x:c>
      <x:c r="G198" s="90" t="str">
        <x:v>null</x:v>
      </x:c>
      <x:c r="H198" s="90" t="str">
        <x:v>null</x:v>
      </x:c>
      <x:c r="I198" s="90" t="n">
        <x:v>401</x:v>
      </x:c>
      <x:c r="J198" s="90" t="str">
        <x:v>{"error":{"code":"AUTH_REQUIRED","message":"Authentication required"}}</x:v>
      </x:c>
      <x:c r="K198" s="89" t="str">
        <x:v>Case duration 614 ms</x:v>
      </x:c>
    </x:row>
    <x:row r="199" ht="35" customHeight="1">
      <x:c r="A199" s="89" t="str">
        <x:v>MINE-003</x:v>
      </x:c>
      <x:c r="B199" s="89" t="str">
        <x:v>My Opportunities</x:v>
      </x:c>
      <x:c r="C199" s="89" t="str">
        <x:v>Passed</x:v>
      </x:c>
      <x:c r="D199" s="89" t="n">
        <x:v>1</x:v>
      </x:c>
      <x:c r="E199" s="89" t="str">
        <x:v>POST</x:v>
      </x:c>
      <x:c r="F199" s="89" t="str">
        <x:v>/api/v1/auth/login</x:v>
      </x:c>
      <x:c r="G199" s="90" t="str">
        <x:v>null</x:v>
      </x:c>
      <x:c r="H199" s="90" t="str">
        <x:v>{"email":"maple.bakery@grow8.dev","password":"&lt;redacted&gt;"}</x:v>
      </x:c>
      <x:c r="I199" s="90" t="n">
        <x:v>200</x:v>
      </x:c>
      <x:c r="J199" s="90" t="str">
        <x:v>{"access_token":"&lt;redacted&gt;","token_type":"bearer","expires_in":3600,"user":{"user_id":2,"email":"maple.bakery@grow8.dev","full_name":"Priya Nair","role":"creator"}}</x:v>
      </x:c>
      <x:c r="K199" s="89" t="str"/>
    </x:row>
    <x:row r="200" ht="35" customHeight="1">
      <x:c r="A200" s="89" t="str">
        <x:v>MINE-003</x:v>
      </x:c>
      <x:c r="B200" s="89" t="str">
        <x:v>My Opportunities</x:v>
      </x:c>
      <x:c r="C200" s="89" t="str">
        <x:v>Passed</x:v>
      </x:c>
      <x:c r="D200" s="89" t="n">
        <x:v>2</x:v>
      </x:c>
      <x:c r="E200" s="89" t="str">
        <x:v>POST</x:v>
      </x:c>
      <x:c r="F200" s="89" t="str">
        <x:v>/api/v1/auth/login</x:v>
      </x:c>
      <x:c r="G200" s="90" t="str">
        <x:v>null</x:v>
      </x:c>
      <x:c r="H200" s="90" t="str">
        <x:v>{"email":"alex.chen@grow8.dev","password":"&lt;redacted&gt;"}</x:v>
      </x:c>
      <x:c r="I200" s="90" t="n">
        <x:v>200</x:v>
      </x:c>
      <x:c r="J200" s="90" t="str">
        <x:v>{"access_token":"&lt;redacted&gt;","token_type":"bearer","expires_in":3600,"user":{"user_id":5,"email":"alex.chen@grow8.dev","full_name":"Alex Chen","role":"contributor"}}</x:v>
      </x:c>
      <x:c r="K200" s="89" t="str"/>
    </x:row>
    <x:row r="201" ht="35" customHeight="1">
      <x:c r="A201" s="89" t="str">
        <x:v>MINE-003</x:v>
      </x:c>
      <x:c r="B201" s="89" t="str">
        <x:v>My Opportunities</x:v>
      </x:c>
      <x:c r="C201" s="89" t="str">
        <x:v>Passed</x:v>
      </x:c>
      <x:c r="D201" s="89" t="n">
        <x:v>3</x:v>
      </x:c>
      <x:c r="E201" s="89" t="str">
        <x:v>GET</x:v>
      </x:c>
      <x:c r="F201" s="89" t="str">
        <x:v>/api/v1/opportunities/mine</x:v>
      </x:c>
      <x:c r="G201" s="90" t="str">
        <x:v>null</x:v>
      </x:c>
      <x:c r="H201" s="90" t="str">
        <x:v>null</x:v>
      </x:c>
      <x:c r="I201" s="90" t="n">
        <x:v>403</x:v>
      </x:c>
      <x:c r="J201" s="90" t="str">
        <x:v>{"error":{"code":"ROLE_FORBIDDEN","message":"This action requires role: creator"}}</x:v>
      </x:c>
      <x:c r="K201" s="89" t="str">
        <x:v>Case duration 965 ms</x:v>
      </x:c>
    </x:row>
    <x:row r="202" ht="35" customHeight="1">
      <x:c r="A202" s="89" t="str">
        <x:v>MINE-004</x:v>
      </x:c>
      <x:c r="B202" s="89" t="str">
        <x:v>My Opportunities</x:v>
      </x:c>
      <x:c r="C202" s="89" t="str">
        <x:v>Passed</x:v>
      </x:c>
      <x:c r="D202" s="89" t="n">
        <x:v>1</x:v>
      </x:c>
      <x:c r="E202" s="89" t="str">
        <x:v>POST</x:v>
      </x:c>
      <x:c r="F202" s="89" t="str">
        <x:v>/api/v1/auth/login</x:v>
      </x:c>
      <x:c r="G202" s="90" t="str">
        <x:v>null</x:v>
      </x:c>
      <x:c r="H202" s="90" t="str">
        <x:v>{"email":"maple.bakery@grow8.dev","password":"&lt;redacted&gt;"}</x:v>
      </x:c>
      <x:c r="I202" s="90" t="n">
        <x:v>200</x:v>
      </x:c>
      <x:c r="J202" s="90" t="str">
        <x:v>{"access_token":"&lt;redacted&gt;","token_type":"bearer","expires_in":3600,"user":{"user_id":2,"email":"maple.bakery@grow8.dev","full_name":"Priya Nair","role":"creator"}}</x:v>
      </x:c>
      <x:c r="K202" s="89" t="str"/>
    </x:row>
    <x:row r="203" ht="35" customHeight="1">
      <x:c r="A203" s="89" t="str">
        <x:v>MINE-004</x:v>
      </x:c>
      <x:c r="B203" s="89" t="str">
        <x:v>My Opportunities</x:v>
      </x:c>
      <x:c r="C203" s="89" t="str">
        <x:v>Passed</x:v>
      </x:c>
      <x:c r="D203" s="89" t="n">
        <x:v>2</x:v>
      </x:c>
      <x:c r="E203" s="89" t="str">
        <x:v>GET</x:v>
      </x:c>
      <x:c r="F203" s="89" t="str">
        <x:v>/api/v1/opportunities/mine</x:v>
      </x:c>
      <x:c r="G203" s="90" t="str">
        <x:v>{"organization_id":3}</x:v>
      </x:c>
      <x:c r="H203" s="90" t="str">
        <x:v>null</x:v>
      </x:c>
      <x:c r="I203" s="90" t="n">
        <x:v>200</x:v>
      </x:c>
      <x:c r="J203" s="90" t="str">
        <x:v>{"items":[{"opportunity_id":14,"title":"Point-of-sale menu photo shoot","description":"Photograph our menu items for the new point-of-sale screens.","status":"draft","category":{"code":"knowledge","name":"Knowledge-based","description":"Digital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Bakery","organization_type":"small_business","city":"Calgary"},"skills":[{"code":"photography","name":"Photography"}],"requirements":null,"location":"Calgary (Kensington)","work_mode":"on_site","start_date":null,"end_date":null,"expected_hours":6.0,"compensation_type":"paid","compensation_amount":null,"compensation_details":null,"applicant_limit":1,"application_deadline":null,"working_conditions":null,"safety_information":null,"accessibility_details":null,"published_at":null,"created_at":"2026-10-13T15:00:00Z","updated_at":"2026-10-28T06:03:13Z"},{"opportunity_id":4,"title":"Holiday market booth assistant","description":"Help run the bakery stall at the weekend holiday market: serving, restocking and payments.","status":"open","category":{"code":"community","name":"Community","description":"Physical tasks, community activities and event-based support."},"organization":{"organization_id":1,"name":"Maple Street Bakery","organization_type":"small_business","city":"Calgary"},"skills":[{"code":"customer-service","name":"Customer service"},{"code":"food-handling","name":"Food handling"}],"requireme… [truncated]</x:v>
      </x:c>
      <x:c r="K203" s="89" t="str">
        <x:v>Case duration 596 ms</x:v>
      </x:c>
    </x:row>
    <x:row r="204" ht="35" customHeight="1">
      <x:c r="A204" s="89" t="str">
        <x:v>MINE-005</x:v>
      </x:c>
      <x:c r="B204" s="89" t="str">
        <x:v>My Opportunities</x:v>
      </x:c>
      <x:c r="C204" s="89" t="str">
        <x:v>Passed</x:v>
      </x:c>
      <x:c r="D204" s="89" t="n">
        <x:v>1</x:v>
      </x:c>
      <x:c r="E204" s="89" t="str">
        <x:v>POST</x:v>
      </x:c>
      <x:c r="F204" s="89" t="str">
        <x:v>/api/v1/auth/login</x:v>
      </x:c>
      <x:c r="G204" s="90" t="str">
        <x:v>null</x:v>
      </x:c>
      <x:c r="H204" s="90" t="str">
        <x:v>{"email":"maple.bakery@grow8.dev","password":"&lt;redacted&gt;"}</x:v>
      </x:c>
      <x:c r="I204" s="90" t="n">
        <x:v>200</x:v>
      </x:c>
      <x:c r="J204" s="90" t="str">
        <x:v>{"access_token":"&lt;redacted&gt;","token_type":"bearer","expires_in":3600,"user":{"user_id":2,"email":"maple.bakery@grow8.dev","full_name":"Priya Nair","role":"creator"}}</x:v>
      </x:c>
      <x:c r="K204" s="89" t="str"/>
    </x:row>
    <x:row r="205" ht="35" customHeight="1">
      <x:c r="A205" s="89" t="str">
        <x:v>MINE-005</x:v>
      </x:c>
      <x:c r="B205" s="89" t="str">
        <x:v>My Opportunities</x:v>
      </x:c>
      <x:c r="C205" s="89" t="str">
        <x:v>Passed</x:v>
      </x:c>
      <x:c r="D205" s="89" t="n">
        <x:v>2</x:v>
      </x:c>
      <x:c r="E205" s="89" t="str">
        <x:v>GET</x:v>
      </x:c>
      <x:c r="F205" s="89" t="str">
        <x:v>/api/v1/opportunities/mine</x:v>
      </x:c>
      <x:c r="G205" s="90" t="str">
        <x:v>null</x:v>
      </x:c>
      <x:c r="H205" s="90" t="str">
        <x:v>null</x:v>
      </x:c>
      <x:c r="I205" s="90" t="n">
        <x:v>200</x:v>
      </x:c>
      <x:c r="J205" s="90" t="str">
        <x:v>{"items":[{"opportunity_id":14,"title":"Point-of-sale menu photo shoot","description":"Photograph our menu items for the new point-of-sale screens.","status":"draft","category":{"code":"knowledge","name":"Knowledge-based","description":"Digital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Bakery","organization_type":"small_business","city":"Calgary"},"skills":[{"code":"photography","name":"Photography"}],"requirements":null,"location":"Calgary (Kensington)","work_mode":"on_site","start_date":null,"end_date":null,"expected_hours":6.0,"compensation_type":"paid","compensation_amount":null,"compensation_details":null,"applicant_limit":1,"application_deadline":null,"working_conditions":null,"safety_information":null,"accessibility_details":null,"published_at":null,"created_at":"2026-10-13T15:00:00Z","updated_at":"2026-10-28T06:03:14Z"},{"opportunity_id":4,"title":"Holiday market booth assistant","description":"Help run the bakery stall at the weekend holiday market: serving, restocking and payments.","status":"open","category":{"code":"community","name":"Community","description":"Physical tasks, community activities and event-based support."},"organization":{"organization_id":1,"name":"Maple Street Bakery","organization_type":"small_business","city":"Calgary"},"skills":[{"code":"customer-service","name":"Customer service"},{"code":"food-handling","name":"Food handling"}],"requireme… [truncated]</x:v>
      </x:c>
      <x:c r="K205" s="89" t="str">
        <x:v>Case duration 653 ms</x:v>
      </x:c>
    </x:row>
    <x:row r="206" ht="35" customHeight="1">
      <x:c r="A206" s="89" t="str">
        <x:v>MINE-006</x:v>
      </x:c>
      <x:c r="B206" s="89" t="str">
        <x:v>My Opportunities</x:v>
      </x:c>
      <x:c r="C206" s="89" t="str">
        <x:v>Passed</x:v>
      </x:c>
      <x:c r="D206" s="89" t="n">
        <x:v>1</x:v>
      </x:c>
      <x:c r="E206" s="89" t="str">
        <x:v>POST</x:v>
      </x:c>
      <x:c r="F206" s="89" t="str">
        <x:v>/api/v1/auth/login</x:v>
      </x:c>
      <x:c r="G206" s="90" t="str">
        <x:v>null</x:v>
      </x:c>
      <x:c r="H206" s="90" t="str">
        <x:v>{"email":"maple.bakery@grow8.dev","password":"&lt;redacted&gt;"}</x:v>
      </x:c>
      <x:c r="I206" s="90" t="n">
        <x:v>200</x:v>
      </x:c>
      <x:c r="J206" s="90" t="str">
        <x:v>{"access_token":"&lt;redacted&gt;","token_type":"bearer","expires_in":3600,"user":{"user_id":2,"email":"maple.bakery@grow8.dev","full_name":"Priya Nair","role":"creator"}}</x:v>
      </x:c>
      <x:c r="K206" s="89" t="str"/>
    </x:row>
    <x:row r="207" ht="35" customHeight="1">
      <x:c r="A207" s="89" t="str">
        <x:v>MINE-006</x:v>
      </x:c>
      <x:c r="B207" s="89" t="str">
        <x:v>My Opportunities</x:v>
      </x:c>
      <x:c r="C207" s="89" t="str">
        <x:v>Passed</x:v>
      </x:c>
      <x:c r="D207" s="89" t="n">
        <x:v>2</x:v>
      </x:c>
      <x:c r="E207" s="89" t="str">
        <x:v>GET</x:v>
      </x:c>
      <x:c r="F207" s="89" t="str">
        <x:v>/api/v1/opportunities/mine</x:v>
      </x:c>
      <x:c r="G207" s="90" t="str">
        <x:v>{"status":"draft"}</x:v>
      </x:c>
      <x:c r="H207" s="90" t="str">
        <x:v>null</x:v>
      </x:c>
      <x:c r="I207" s="90" t="n">
        <x:v>200</x:v>
      </x:c>
      <x:c r="J207" s="90" t="str">
        <x:v>{"items":[{"opportunity_id":14,"title":"Point-of-sale menu photo shoot","description":"Photograph our menu items for the new point-of-sale screens.","status":"draft","category":{"code":"knowledge","name":"Knowledge-based","description":"Digital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Bakery","organization_type":"small_business","city":"Calgary"},"skills":[{"code":"photography","name":"Photography"}],"requirements":null,"location":"Calgary (Kensington)","work_mode":"on_site","start_date":null,"end_date":null,"expected_hours":6.0,"compensation_type":"paid","compensation_amount":null,"compensation_details":null,"applicant_limit":1,"application_deadline":null,"working_conditions":null,"safety_information":null,"accessibility_details":null,"published_at":null,"created_at":"2026-10-13T15:00:00Z","updated_at":"2026-10-28T06:03:14Z"}],"total":1,"limit":20,"offset":0}</x:v>
      </x:c>
      <x:c r="K207" s="89" t="str">
        <x:v>Case duration 675 ms</x:v>
      </x:c>
    </x:row>
    <x:row r="208" ht="35" customHeight="1">
      <x:c r="A208" s="89" t="str">
        <x:v>MINE-007</x:v>
      </x:c>
      <x:c r="B208" s="89" t="str">
        <x:v>My Opportunities</x:v>
      </x:c>
      <x:c r="C208" s="89" t="str">
        <x:v>Passed</x:v>
      </x:c>
      <x:c r="D208" s="89" t="n">
        <x:v>1</x:v>
      </x:c>
      <x:c r="E208" s="89" t="str">
        <x:v>POST</x:v>
      </x:c>
      <x:c r="F208" s="89" t="str">
        <x:v>/api/v1/auth/login</x:v>
      </x:c>
      <x:c r="G208" s="90" t="str">
        <x:v>null</x:v>
      </x:c>
      <x:c r="H208" s="90" t="str">
        <x:v>{"email":"maple.bakery@grow8.dev","password":"&lt;redacted&gt;"}</x:v>
      </x:c>
      <x:c r="I208" s="90" t="n">
        <x:v>200</x:v>
      </x:c>
      <x:c r="J208" s="90" t="str">
        <x:v>{"access_token":"&lt;redacted&gt;","token_type":"bearer","expires_in":3600,"user":{"user_id":2,"email":"maple.bakery@grow8.dev","full_name":"Priya Nair","role":"creator"}}</x:v>
      </x:c>
      <x:c r="K208" s="89" t="str"/>
    </x:row>
    <x:row r="209" ht="35" customHeight="1">
      <x:c r="A209" s="89" t="str">
        <x:v>MINE-007</x:v>
      </x:c>
      <x:c r="B209" s="89" t="str">
        <x:v>My Opportunities</x:v>
      </x:c>
      <x:c r="C209" s="89" t="str">
        <x:v>Passed</x:v>
      </x:c>
      <x:c r="D209" s="89" t="n">
        <x:v>2</x:v>
      </x:c>
      <x:c r="E209" s="89" t="str">
        <x:v>GET</x:v>
      </x:c>
      <x:c r="F209" s="89" t="str">
        <x:v>/api/v1/opportunities/mine</x:v>
      </x:c>
      <x:c r="G209" s="90" t="str">
        <x:v>{"q":"inventory spreadsheet"}</x:v>
      </x:c>
      <x:c r="H209" s="90" t="str">
        <x:v>null</x:v>
      </x:c>
      <x:c r="I209" s="90" t="n">
        <x:v>200</x:v>
      </x:c>
      <x:c r="J209" s="90" t="str">
        <x:v>{"items":[{"opportunity_id":2,"title":"Inventory spreadsheet cleanup","description":"Merge three years of supplier spreadsheets into one clean inventory sheet.","status":"open","category":{"code":"knowledge","name":"Knowledge-based","description":"Digital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Bakery","organization_type":"small_business","city":"Calgary"},"skills":[{"code":"data-cleaning","name":"Data cleaning"},{"code":"inventory","name":"Inventory management"},{"code":"spreadsheets","name":"Spreadsheets"}],"requirements":"Comfortable with spreadsheet formulas and removing duplicates.","location":null,"work_mode":"remote","start_date":"2026-11-10","end_date":"2026-11-24","expected_hours":12.0,"compensation_type":"stipend","compensation_amount":150.0,"compensation_details":"Stipend paid at completion.","applicant_limit":1,"application_deadline":"2026-11-05T23:59:59Z","working_conditions":"Fully remote, self-paced.","safety_information":"Remote work; take regular screen breaks.","accessibility_details":"Remote; any assistive technology you already use is fine.","published_at":"2026-10-05T16:00:00Z","created_at":"2026-10-05T15:00:00Z","updated_at":"2026-10-28T06:03:15Z"}],"total":1,"limit":20,"offset":0}</x:v>
      </x:c>
      <x:c r="K209" s="89" t="str">
        <x:v>Case duration 559 ms</x:v>
      </x:c>
    </x:row>
    <x:row r="210" ht="35" customHeight="1">
      <x:c r="A210" s="89" t="str">
        <x:v>MINE-008</x:v>
      </x:c>
      <x:c r="B210" s="89" t="str">
        <x:v>My Opportunities</x:v>
      </x:c>
      <x:c r="C210" s="89" t="str">
        <x:v>Passed</x:v>
      </x:c>
      <x:c r="D210" s="89" t="n">
        <x:v>1</x:v>
      </x:c>
      <x:c r="E210" s="89" t="str">
        <x:v>POST</x:v>
      </x:c>
      <x:c r="F210" s="89" t="str">
        <x:v>/api/v1/auth/login</x:v>
      </x:c>
      <x:c r="G210" s="90" t="str">
        <x:v>null</x:v>
      </x:c>
      <x:c r="H210" s="90" t="str">
        <x:v>{"email":"maple.bakery@grow8.dev","password":"&lt;redacted&gt;"}</x:v>
      </x:c>
      <x:c r="I210" s="90" t="n">
        <x:v>200</x:v>
      </x:c>
      <x:c r="J210" s="90" t="str">
        <x:v>{"access_token":"&lt;redacted&gt;","token_type":"bearer","expires_in":3600,"user":{"user_id":2,"email":"maple.bakery@grow8.dev","full_name":"Priya Nair","role":"creator"}}</x:v>
      </x:c>
      <x:c r="K210" s="89" t="str"/>
    </x:row>
    <x:row r="211" ht="35" customHeight="1">
      <x:c r="A211" s="89" t="str">
        <x:v>MINE-008</x:v>
      </x:c>
      <x:c r="B211" s="89" t="str">
        <x:v>My Opportunities</x:v>
      </x:c>
      <x:c r="C211" s="89" t="str">
        <x:v>Passed</x:v>
      </x:c>
      <x:c r="D211" s="89" t="n">
        <x:v>2</x:v>
      </x:c>
      <x:c r="E211" s="89" t="str">
        <x:v>GET</x:v>
      </x:c>
      <x:c r="F211" s="89" t="str">
        <x:v>/api/v1/opportunities/mine</x:v>
      </x:c>
      <x:c r="G211" s="90" t="str">
        <x:v>{"category":"knowledge","skill":"spreadsheets","work_mode":"remote"}</x:v>
      </x:c>
      <x:c r="H211" s="90" t="str">
        <x:v>null</x:v>
      </x:c>
      <x:c r="I211" s="90" t="n">
        <x:v>200</x:v>
      </x:c>
      <x:c r="J211" s="90" t="str">
        <x:v>{"items":[{"opportunity_id":2,"title":"Inventory spreadsheet cleanup","description":"Merge three years of supplier spreadsheets into one clean inventory sheet.","status":"open","category":{"code":"knowledge","name":"Knowledge-based","description":"Digital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Bakery","organization_type":"small_business","city":"Calgary"},"skills":[{"code":"data-cleaning","name":"Data cleaning"},{"code":"inventory","name":"Inventory management"},{"code":"spreadsheets","name":"Spreadsheets"}],"requirements":"Comfortable with spreadsheet formulas and removing duplicates.","location":null,"work_mode":"remote","start_date":"2026-11-10","end_date":"2026-11-24","expected_hours":12.0,"compensation_type":"stipend","compensation_amount":150.0,"compensation_details":"Stipend paid at completion.","applicant_limit":1,"application_deadline":"2026-11-05T23:59:59Z","working_conditions":"Fully remote, self-paced.","safety_information":"Remote work; take regular screen breaks.","accessibility_details":"Remote; any assistive technology you already use is fine.","published_at":"2026-10-05T16:00:00Z","created_at":"2026-10-05T15:00:00Z","updated_at":"2026-10-28T06:03:16Z"}],"total":1,"limit":20,"offset":0}</x:v>
      </x:c>
      <x:c r="K211" s="89" t="str">
        <x:v>Case duration 721 ms</x:v>
      </x:c>
    </x:row>
    <x:row r="212" ht="35" customHeight="1">
      <x:c r="A212" s="89" t="str">
        <x:v>MINE-009</x:v>
      </x:c>
      <x:c r="B212" s="89" t="str">
        <x:v>My Opportunities</x:v>
      </x:c>
      <x:c r="C212" s="89" t="str">
        <x:v>Passed</x:v>
      </x:c>
      <x:c r="D212" s="89" t="n">
        <x:v>1</x:v>
      </x:c>
      <x:c r="E212" s="89" t="str">
        <x:v>POST</x:v>
      </x:c>
      <x:c r="F212" s="89" t="str">
        <x:v>/api/v1/auth/login</x:v>
      </x:c>
      <x:c r="G212" s="90" t="str">
        <x:v>null</x:v>
      </x:c>
      <x:c r="H212" s="90" t="str">
        <x:v>{"email":"maple.bakery@grow8.dev","password":"&lt;redacted&gt;"}</x:v>
      </x:c>
      <x:c r="I212" s="90" t="n">
        <x:v>200</x:v>
      </x:c>
      <x:c r="J212" s="90" t="str">
        <x:v>{"access_token":"&lt;redacted&gt;","token_type":"bearer","expires_in":3600,"user":{"user_id":2,"email":"maple.bakery@grow8.dev","full_name":"Priya Nair","role":"creator"}}</x:v>
      </x:c>
      <x:c r="K212" s="89" t="str"/>
    </x:row>
    <x:row r="213" ht="35" customHeight="1">
      <x:c r="A213" s="89" t="str">
        <x:v>MINE-009</x:v>
      </x:c>
      <x:c r="B213" s="89" t="str">
        <x:v>My Opportunities</x:v>
      </x:c>
      <x:c r="C213" s="89" t="str">
        <x:v>Passed</x:v>
      </x:c>
      <x:c r="D213" s="89" t="n">
        <x:v>2</x:v>
      </x:c>
      <x:c r="E213" s="89" t="str">
        <x:v>GET</x:v>
      </x:c>
      <x:c r="F213" s="89" t="str">
        <x:v>/api/v1/opportunities/mine</x:v>
      </x:c>
      <x:c r="G213" s="90" t="str">
        <x:v>{"sort":"newest","limit":5,"offset":0}</x:v>
      </x:c>
      <x:c r="H213" s="90" t="str">
        <x:v>null</x:v>
      </x:c>
      <x:c r="I213" s="90" t="n">
        <x:v>200</x:v>
      </x:c>
      <x:c r="J213" s="90" t="str">
        <x:v>{"items":[{"opportunity_id":14,"title":"Point-of-sale menu photo shoot","description":"Photograph our menu items for the new point-of-sale screens.","status":"draft","category":{"code":"knowledge","name":"Knowledge-based","description":"Digital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Bakery","organization_type":"small_business","city":"Calgary"},"skills":[{"code":"photography","name":"Photography"}],"requirements":null,"location":"Calgary (Kensington)","work_mode":"on_site","start_date":null,"end_date":null,"expected_hours":6.0,"compensation_type":"paid","compensation_amount":null,"compensation_details":null,"applicant_limit":1,"application_deadline":null,"working_conditions":null,"safety_information":null,"accessibility_details":null,"published_at":null,"created_at":"2026-10-13T15:00:00Z","updated_at":"2026-10-28T06:03:16Z"},{"opportunity_id":4,"title":"Holiday market booth assistant","description":"Help run the bakery stall at the weekend holiday market: serving, restocking and payments.","status":"open","category":{"code":"community","name":"Community","description":"Physical tasks, community activities and event-based support."},"organization":{"organization_id":1,"name":"Maple Street Bakery","organization_type":"small_business","city":"Calgary"},"skills":[{"code":"customer-service","name":"Customer service"},{"code":"food-handling","name":"Food handling"}],"requireme… [truncated]</x:v>
      </x:c>
      <x:c r="K213" s="89" t="str">
        <x:v>Case duration 685 ms</x:v>
      </x:c>
    </x:row>
    <x:row r="214" ht="35" customHeight="1">
      <x:c r="A214" s="89" t="str">
        <x:v>MINE-010</x:v>
      </x:c>
      <x:c r="B214" s="89" t="str">
        <x:v>My Opportunities</x:v>
      </x:c>
      <x:c r="C214" s="89" t="str">
        <x:v>Passed</x:v>
      </x:c>
      <x:c r="D214" s="89" t="n">
        <x:v>1</x:v>
      </x:c>
      <x:c r="E214" s="89" t="str">
        <x:v>POST</x:v>
      </x:c>
      <x:c r="F214" s="89" t="str">
        <x:v>/api/v1/auth/login</x:v>
      </x:c>
      <x:c r="G214" s="90" t="str">
        <x:v>null</x:v>
      </x:c>
      <x:c r="H214" s="90" t="str">
        <x:v>{"email":"maple.bakery@grow8.dev","password":"&lt;redacted&gt;"}</x:v>
      </x:c>
      <x:c r="I214" s="90" t="n">
        <x:v>200</x:v>
      </x:c>
      <x:c r="J214" s="90" t="str">
        <x:v>{"access_token":"&lt;redacted&gt;","token_type":"bearer","expires_in":3600,"user":{"user_id":2,"email":"maple.bakery@grow8.dev","full_name":"Priya Nair","role":"creator"}}</x:v>
      </x:c>
      <x:c r="K214" s="89" t="str"/>
    </x:row>
    <x:row r="215" ht="35" customHeight="1">
      <x:c r="A215" s="89" t="str">
        <x:v>MINE-010</x:v>
      </x:c>
      <x:c r="B215" s="89" t="str">
        <x:v>My Opportunities</x:v>
      </x:c>
      <x:c r="C215" s="89" t="str">
        <x:v>Passed</x:v>
      </x:c>
      <x:c r="D215" s="89" t="n">
        <x:v>2</x:v>
      </x:c>
      <x:c r="E215" s="89" t="str">
        <x:v>GET</x:v>
      </x:c>
      <x:c r="F215" s="89" t="str">
        <x:v>/api/v1/opportunities/mine?status=pending</x:v>
      </x:c>
      <x:c r="G215" s="90" t="str">
        <x:v>null</x:v>
      </x:c>
      <x:c r="H215" s="90" t="str">
        <x:v>null</x:v>
      </x:c>
      <x:c r="I215" s="90" t="n">
        <x:v>422</x:v>
      </x:c>
      <x:c r="J215" s="90" t="str">
        <x:v>{"error":{"code":"VALIDATION_ERROR","message":"Request validation failed","details":[{"loc":["query","status",0],"message":"Input should be 'draft', 'open', 'closed' or 'cancelled'","type":"enum"}]}}</x:v>
      </x:c>
      <x:c r="K215" s="89" t="str">
        <x:v>Case duration 731 ms</x:v>
      </x:c>
    </x:row>
    <x:row r="216" ht="35" customHeight="1">
      <x:c r="A216" s="89" t="str">
        <x:v>GET-001</x:v>
      </x:c>
      <x:c r="B216" s="89" t="str">
        <x:v>Opportunity Details</x:v>
      </x:c>
      <x:c r="C216" s="89" t="str">
        <x:v>Passed</x:v>
      </x:c>
      <x:c r="D216" s="89" t="n">
        <x:v>1</x:v>
      </x:c>
      <x:c r="E216" s="89" t="str">
        <x:v>GET</x:v>
      </x:c>
      <x:c r="F216" s="89" t="str">
        <x:v>/api/v1/opportunities/1</x:v>
      </x:c>
      <x:c r="G216" s="90" t="str">
        <x:v>null</x:v>
      </x:c>
      <x:c r="H216" s="90" t="str">
        <x:v>null</x:v>
      </x:c>
      <x:c r="I216" s="90" t="n">
        <x:v>200</x:v>
      </x:c>
      <x:c r="J216" s="90" t="str">
        <x:v>{"opportunity_id":1,"title":"Digitize paper recipe archive","description":"Scan and transcribe about 300 handwritten recipe cards into a structured spreadsheet.","status":"open","category":{"code":"knowledge","name":"Knowledge-based","description":"Digital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Bakery","organization_type":"small_business","city":"Calgary"},"skills":[{"code":"data-entry","name":"Data entry"},{"code":"spreadsheets","name":"Spreadsheets"}],"requirements":"Careful typing, basic spreadsheet skills. Scanner provided on site.","location":"Calgary (Kensington)","work_mode":"hybrid","start_date":"2026-11-25","end_date":"2026-12-12","expected_hours":20.0,"compensation_type":"paid","compensation_amount":400.0,"compensation_details":"Flat fee, paid by e-transfer after verification.","applicant_limit":2,"application_deadline":"2026-11-20T23:59:59Z","working_conditions":"Flexible hours; scanning on site, transcription from home.","safety_information":"Standard office setting; no hazards beyond normal computer use.","accessibility_details":"Step-free entrance; adjustable-height desk available.","published_at":"2026-10-01T15:00:00Z","created_at":"2026-09-30T18:00:00Z","updated_at":"2026-10-28T06:03:18Z"}</x:v>
      </x:c>
      <x:c r="K216" s="89" t="str">
        <x:v>Case duration 274 ms</x:v>
      </x:c>
    </x:row>
    <x:row r="217" ht="35" customHeight="1">
      <x:c r="A217" s="89" t="str">
        <x:v>GET-002</x:v>
      </x:c>
      <x:c r="B217" s="89" t="str">
        <x:v>Opportunity Details</x:v>
      </x:c>
      <x:c r="C217" s="89" t="str">
        <x:v>Passed</x:v>
      </x:c>
      <x:c r="D217" s="89" t="n">
        <x:v>1</x:v>
      </x:c>
      <x:c r="E217" s="89" t="str">
        <x:v>POST</x:v>
      </x:c>
      <x:c r="F217" s="89" t="str">
        <x:v>/api/v1/auth/login</x:v>
      </x:c>
      <x:c r="G217" s="90" t="str">
        <x:v>null</x:v>
      </x:c>
      <x:c r="H217" s="90" t="str">
        <x:v>{"email":"maple.bakery@grow8.dev","password":"&lt;redacted&gt;"}</x:v>
      </x:c>
      <x:c r="I217" s="90" t="n">
        <x:v>200</x:v>
      </x:c>
      <x:c r="J217" s="90" t="str">
        <x:v>{"access_token":"&lt;redacted&gt;","token_type":"bearer","expires_in":3600,"user":{"user_id":2,"email":"maple.bakery@grow8.dev","full_name":"Priya Nair","role":"creator"}}</x:v>
      </x:c>
      <x:c r="K217" s="89" t="str"/>
    </x:row>
    <x:row r="218" ht="35" customHeight="1">
      <x:c r="A218" s="89" t="str">
        <x:v>GET-002</x:v>
      </x:c>
      <x:c r="B218" s="89" t="str">
        <x:v>Opportunity Details</x:v>
      </x:c>
      <x:c r="C218" s="89" t="str">
        <x:v>Passed</x:v>
      </x:c>
      <x:c r="D218" s="89" t="n">
        <x:v>2</x:v>
      </x:c>
      <x:c r="E218" s="89" t="str">
        <x:v>GET</x:v>
      </x:c>
      <x:c r="F218" s="89" t="str">
        <x:v>/api/v1/opportunities/1</x:v>
      </x:c>
      <x:c r="G218" s="90" t="str">
        <x:v>null</x:v>
      </x:c>
      <x:c r="H218" s="90" t="str">
        <x:v>null</x:v>
      </x:c>
      <x:c r="I218" s="90" t="n">
        <x:v>200</x:v>
      </x:c>
      <x:c r="J218" s="90" t="str">
        <x:v>{"opportunity_id":1,"title":"Digitize paper recipe archive","description":"Scan and transcribe about 300 handwritten recipe cards into a structured spreadsheet.","status":"open","category":{"code":"knowledge","name":"Knowledge-based","description":"Digital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Bakery","organization_type":"small_business","city":"Calgary"},"skills":[{"code":"data-entry","name":"Data entry"},{"code":"spreadsheets","name":"Spreadsheets"}],"requirements":"Careful typing, basic spreadsheet skills. Scanner provided on site.","location":"Calgary (Kensington)","work_mode":"hybrid","start_date":"2026-11-25","end_date":"2026-12-12","expected_hours":20.0,"compensation_type":"paid","compensation_amount":400.0,"compensation_details":"Flat fee, paid by e-transfer after verification.","applicant_limit":2,"application_deadline":"2026-11-20T23:59:59Z","working_conditions":"Flexible hours; scanning on site, transcription from home.","safety_information":"Standard office setting; no hazards beyond normal computer use.","accessibility_details":"Step-free entrance; adjustable-height desk available.","published_at":"2026-10-01T15:00:00Z","created_at":"2026-09-30T18:00:00Z","updated_at":"2026-10-28T06:03:18Z"}</x:v>
      </x:c>
      <x:c r="K218" s="89" t="str"/>
    </x:row>
    <x:row r="219" ht="35" customHeight="1">
      <x:c r="A219" s="89" t="str">
        <x:v>GET-002</x:v>
      </x:c>
      <x:c r="B219" s="89" t="str">
        <x:v>Opportunity Details</x:v>
      </x:c>
      <x:c r="C219" s="89" t="str">
        <x:v>Passed</x:v>
      </x:c>
      <x:c r="D219" s="89" t="n">
        <x:v>3</x:v>
      </x:c>
      <x:c r="E219" s="89" t="str">
        <x:v>POST</x:v>
      </x:c>
      <x:c r="F219" s="89" t="str">
        <x:v>/api/v1/auth/login</x:v>
      </x:c>
      <x:c r="G219" s="90" t="str">
        <x:v>null</x:v>
      </x:c>
      <x:c r="H219" s="90" t="str">
        <x:v>{"email":"alex.chen@grow8.dev","password":"&lt;redacted&gt;"}</x:v>
      </x:c>
      <x:c r="I219" s="90" t="n">
        <x:v>200</x:v>
      </x:c>
      <x:c r="J219" s="90" t="str">
        <x:v>{"access_token":"&lt;redacted&gt;","token_type":"bearer","expires_in":3600,"user":{"user_id":5,"email":"alex.chen@grow8.dev","full_name":"Alex Chen","role":"contributor"}}</x:v>
      </x:c>
      <x:c r="K219" s="89" t="str"/>
    </x:row>
    <x:row r="220" ht="35" customHeight="1">
      <x:c r="A220" s="89" t="str">
        <x:v>GET-002</x:v>
      </x:c>
      <x:c r="B220" s="89" t="str">
        <x:v>Opportunity Details</x:v>
      </x:c>
      <x:c r="C220" s="89" t="str">
        <x:v>Passed</x:v>
      </x:c>
      <x:c r="D220" s="89" t="n">
        <x:v>4</x:v>
      </x:c>
      <x:c r="E220" s="89" t="str">
        <x:v>GET</x:v>
      </x:c>
      <x:c r="F220" s="89" t="str">
        <x:v>/api/v1/opportunities/1</x:v>
      </x:c>
      <x:c r="G220" s="90" t="str">
        <x:v>null</x:v>
      </x:c>
      <x:c r="H220" s="90" t="str">
        <x:v>null</x:v>
      </x:c>
      <x:c r="I220" s="90" t="n">
        <x:v>200</x:v>
      </x:c>
      <x:c r="J220" s="90" t="str">
        <x:v>{"opportunity_id":1,"title":"Digitize paper recipe archive","description":"Scan and transcribe about 300 handwritten recipe cards into a structured spreadsheet.","status":"open","category":{"code":"knowledge","name":"Knowledge-based","description":"Digital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Bakery","organization_type":"small_business","city":"Calgary"},"skills":[{"code":"data-entry","name":"Data entry"},{"code":"spreadsheets","name":"Spreadsheets"}],"requirements":"Careful typing, basic spreadsheet skills. Scanner provided on site.","location":"Calgary (Kensington)","work_mode":"hybrid","start_date":"2026-11-25","end_date":"2026-12-12","expected_hours":20.0,"compensation_type":"paid","compensation_amount":400.0,"compensation_details":"Flat fee, paid by e-transfer after verification.","applicant_limit":2,"application_deadline":"2026-11-20T23:59:59Z","working_conditions":"Flexible hours; scanning on site, transcription from home.","safety_information":"Standard office setting; no hazards beyond normal computer use.","accessibility_details":"Step-free entrance; adjustable-height desk available.","published_at":"2026-10-01T15:00:00Z","created_at":"2026-09-30T18:00:00Z","updated_at":"2026-10-28T06:03:18Z"}</x:v>
      </x:c>
      <x:c r="K220" s="89" t="str"/>
    </x:row>
    <x:row r="221" ht="35" customHeight="1">
      <x:c r="A221" s="89" t="str">
        <x:v>GET-002</x:v>
      </x:c>
      <x:c r="B221" s="89" t="str">
        <x:v>Opportunity Details</x:v>
      </x:c>
      <x:c r="C221" s="89" t="str">
        <x:v>Passed</x:v>
      </x:c>
      <x:c r="D221" s="89" t="n">
        <x:v>5</x:v>
      </x:c>
      <x:c r="E221" s="89" t="str">
        <x:v>POST</x:v>
      </x:c>
      <x:c r="F221" s="89" t="str">
        <x:v>/api/v1/auth/login</x:v>
      </x:c>
      <x:c r="G221" s="90" t="str">
        <x:v>null</x:v>
      </x:c>
      <x:c r="H221" s="90" t="str">
        <x:v>{"email":"admin@grow8.dev","password":"&lt;redacted&gt;"}</x:v>
      </x:c>
      <x:c r="I221" s="90" t="n">
        <x:v>200</x:v>
      </x:c>
      <x:c r="J221" s="90" t="str">
        <x:v>{"access_token":"&lt;redacted&gt;","token_type":"bearer","expires_in":3600,"user":{"user_id":1,"email":"admin@grow8.dev","full_name":"Ada Admin","role":"admin"}}</x:v>
      </x:c>
      <x:c r="K221" s="89" t="str"/>
    </x:row>
    <x:row r="222" ht="35" customHeight="1">
      <x:c r="A222" s="89" t="str">
        <x:v>GET-002</x:v>
      </x:c>
      <x:c r="B222" s="89" t="str">
        <x:v>Opportunity Details</x:v>
      </x:c>
      <x:c r="C222" s="89" t="str">
        <x:v>Passed</x:v>
      </x:c>
      <x:c r="D222" s="89" t="n">
        <x:v>6</x:v>
      </x:c>
      <x:c r="E222" s="89" t="str">
        <x:v>GET</x:v>
      </x:c>
      <x:c r="F222" s="89" t="str">
        <x:v>/api/v1/opportunities/1</x:v>
      </x:c>
      <x:c r="G222" s="90" t="str">
        <x:v>null</x:v>
      </x:c>
      <x:c r="H222" s="90" t="str">
        <x:v>null</x:v>
      </x:c>
      <x:c r="I222" s="90" t="n">
        <x:v>200</x:v>
      </x:c>
      <x:c r="J222" s="90" t="str">
        <x:v>{"opportunity_id":1,"title":"Digitize paper recipe archive","description":"Scan and transcribe about 300 handwritten recipe cards into a structured spreadsheet.","status":"open","category":{"code":"knowledge","name":"Knowledge-based","description":"Digital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Bakery","organization_type":"small_business","city":"Calgary"},"skills":[{"code":"data-entry","name":"Data entry"},{"code":"spreadsheets","name":"Spreadsheets"}],"requirements":"Careful typing, basic spreadsheet skills. Scanner provided on site.","location":"Calgary (Kensington)","work_mode":"hybrid","start_date":"2026-11-25","end_date":"2026-12-12","expected_hours":20.0,"compensation_type":"paid","compensation_amount":400.0,"compensation_details":"Flat fee, paid by e-transfer after verification.","applicant_limit":2,"application_deadline":"2026-11-20T23:59:59Z","working_conditions":"Flexible hours; scanning on site, transcription from home.","safety_information":"Standard office setting; no hazards beyond normal computer use.","accessibility_details":"Step-free entrance; adjustable-height desk available.","published_at":"2026-10-01T15:00:00Z","created_at":"2026-09-30T18:00:00Z","updated_at":"2026-10-28T06:03:18Z"}</x:v>
      </x:c>
      <x:c r="K222" s="89" t="str">
        <x:v>Case duration 00:00:02</x:v>
      </x:c>
    </x:row>
    <x:row r="223" ht="35" customHeight="1">
      <x:c r="A223" s="89" t="str">
        <x:v>GET-003</x:v>
      </x:c>
      <x:c r="B223" s="89" t="str">
        <x:v>Opportunity Details</x:v>
      </x:c>
      <x:c r="C223" s="89" t="str">
        <x:v>Passed</x:v>
      </x:c>
      <x:c r="D223" s="89" t="n">
        <x:v>1</x:v>
      </x:c>
      <x:c r="E223" s="89" t="str">
        <x:v>POST</x:v>
      </x:c>
      <x:c r="F223" s="89" t="str">
        <x:v>/api/v1/auth/login</x:v>
      </x:c>
      <x:c r="G223" s="90" t="str">
        <x:v>null</x:v>
      </x:c>
      <x:c r="H223" s="90" t="str">
        <x:v>{"email":"maple.bakery@grow8.dev","password":"&lt;redacted&gt;"}</x:v>
      </x:c>
      <x:c r="I223" s="90" t="n">
        <x:v>200</x:v>
      </x:c>
      <x:c r="J223" s="90" t="str">
        <x:v>{"access_token":"&lt;redacted&gt;","token_type":"bearer","expires_in":3600,"user":{"user_id":2,"email":"maple.bakery@grow8.dev","full_name":"Priya Nair","role":"creator"}}</x:v>
      </x:c>
      <x:c r="K223" s="89" t="str"/>
    </x:row>
    <x:row r="224" ht="35" customHeight="1">
      <x:c r="A224" s="89" t="str">
        <x:v>GET-003</x:v>
      </x:c>
      <x:c r="B224" s="89" t="str">
        <x:v>Opportunity Details</x:v>
      </x:c>
      <x:c r="C224" s="89" t="str">
        <x:v>Passed</x:v>
      </x:c>
      <x:c r="D224" s="89" t="n">
        <x:v>2</x:v>
      </x:c>
      <x:c r="E224" s="89" t="str">
        <x:v>GET</x:v>
      </x:c>
      <x:c r="F224" s="89" t="str">
        <x:v>/api/v1/opportunities/14</x:v>
      </x:c>
      <x:c r="G224" s="90" t="str">
        <x:v>null</x:v>
      </x:c>
      <x:c r="H224" s="90" t="str">
        <x:v>null</x:v>
      </x:c>
      <x:c r="I224" s="90" t="n">
        <x:v>200</x:v>
      </x:c>
      <x:c r="J224" s="90" t="str">
        <x:v>{"opportunity_id":14,"title":"Point-of-sale menu photo shoot","description":"Photograph our menu items for the new point-of-sale screens.","status":"draft","category":{"code":"knowledge","name":"Knowledge-based","description":"Digital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Bakery","organization_type":"small_business","city":"Calgary"},"skills":[{"code":"photography","name":"Photography"}],"requirements":null,"location":"Calgary (Kensington)","work_mode":"on_site","start_date":null,"end_date":null,"expected_hours":6.0,"compensation_type":"paid","compensation_amount":null,"compensation_details":null,"applicant_limit":1,"application_deadline":null,"working_conditions":null,"safety_information":null,"accessibility_details":null,"published_at":null,"created_at":"2026-10-13T15:00:00Z","updated_at":"2026-10-28T06:03:20Z"}</x:v>
      </x:c>
      <x:c r="K224" s="89" t="str">
        <x:v>Case duration 618 ms</x:v>
      </x:c>
    </x:row>
    <x:row r="225" ht="35" customHeight="1">
      <x:c r="A225" s="89" t="str">
        <x:v>GET-004</x:v>
      </x:c>
      <x:c r="B225" s="89" t="str">
        <x:v>Opportunity Details</x:v>
      </x:c>
      <x:c r="C225" s="89" t="str">
        <x:v>Passed</x:v>
      </x:c>
      <x:c r="D225" s="89" t="n">
        <x:v>1</x:v>
      </x:c>
      <x:c r="E225" s="89" t="str">
        <x:v>GET</x:v>
      </x:c>
      <x:c r="F225" s="89" t="str">
        <x:v>/api/v1/opportunities/14</x:v>
      </x:c>
      <x:c r="G225" s="90" t="str">
        <x:v>null</x:v>
      </x:c>
      <x:c r="H225" s="90" t="str">
        <x:v>null</x:v>
      </x:c>
      <x:c r="I225" s="90" t="n">
        <x:v>404</x:v>
      </x:c>
      <x:c r="J225" s="90" t="str">
        <x:v>{"error":{"code":"OPPORTUNITY_NOT_FOUND","message":"Opportunity not found"}}</x:v>
      </x:c>
      <x:c r="K225" s="89" t="str">
        <x:v>Case duration 178 ms</x:v>
      </x:c>
    </x:row>
    <x:row r="226" ht="35" customHeight="1">
      <x:c r="A226" s="89" t="str">
        <x:v>GET-005</x:v>
      </x:c>
      <x:c r="B226" s="89" t="str">
        <x:v>Opportunity Details</x:v>
      </x:c>
      <x:c r="C226" s="89" t="str">
        <x:v>Passed</x:v>
      </x:c>
      <x:c r="D226" s="89" t="n">
        <x:v>1</x:v>
      </x:c>
      <x:c r="E226" s="89" t="str">
        <x:v>POST</x:v>
      </x:c>
      <x:c r="F226" s="89" t="str">
        <x:v>/api/v1/auth/login</x:v>
      </x:c>
      <x:c r="G226" s="90" t="str">
        <x:v>null</x:v>
      </x:c>
      <x:c r="H226" s="90" t="str">
        <x:v>{"email":"yyc.events@grow8.dev","password":"&lt;redacted&gt;"}</x:v>
      </x:c>
      <x:c r="I226" s="90" t="n">
        <x:v>200</x:v>
      </x:c>
      <x:c r="J226" s="90" t="str">
        <x:v>{"access_token":"&lt;redacted&gt;","token_type":"bearer","expires_in":3600,"user":{"user_id":4,"email":"yyc.events@grow8.dev","full_name":"Sofia Martinez","role":"creator"}}</x:v>
      </x:c>
      <x:c r="K226" s="89" t="str"/>
    </x:row>
    <x:row r="227" ht="35" customHeight="1">
      <x:c r="A227" s="89" t="str">
        <x:v>GET-005</x:v>
      </x:c>
      <x:c r="B227" s="89" t="str">
        <x:v>Opportunity Details</x:v>
      </x:c>
      <x:c r="C227" s="89" t="str">
        <x:v>Passed</x:v>
      </x:c>
      <x:c r="D227" s="89" t="n">
        <x:v>2</x:v>
      </x:c>
      <x:c r="E227" s="89" t="str">
        <x:v>GET</x:v>
      </x:c>
      <x:c r="F227" s="89" t="str">
        <x:v>/api/v1/opportunities/14</x:v>
      </x:c>
      <x:c r="G227" s="90" t="str">
        <x:v>null</x:v>
      </x:c>
      <x:c r="H227" s="90" t="str">
        <x:v>null</x:v>
      </x:c>
      <x:c r="I227" s="90" t="n">
        <x:v>404</x:v>
      </x:c>
      <x:c r="J227" s="90" t="str">
        <x:v>{"error":{"code":"OPPORTUNITY_NOT_FOUND","message":"Opportunity not found"}}</x:v>
      </x:c>
      <x:c r="K227" s="89" t="str">
        <x:v>Case duration 568 ms</x:v>
      </x:c>
    </x:row>
    <x:row r="228" ht="35" customHeight="1">
      <x:c r="A228" s="89" t="str">
        <x:v>GET-006</x:v>
      </x:c>
      <x:c r="B228" s="89" t="str">
        <x:v>Opportunity Details</x:v>
      </x:c>
      <x:c r="C228" s="89" t="str">
        <x:v>Passed</x:v>
      </x:c>
      <x:c r="D228" s="89" t="n">
        <x:v>1</x:v>
      </x:c>
      <x:c r="E228" s="89" t="str">
        <x:v>GET</x:v>
      </x:c>
      <x:c r="F228" s="89" t="str">
        <x:v>/api/v1/opportunities/11</x:v>
      </x:c>
      <x:c r="G228" s="90" t="str">
        <x:v>null</x:v>
      </x:c>
      <x:c r="H228" s="90" t="str">
        <x:v>null</x:v>
      </x:c>
      <x:c r="I228" s="90" t="n">
        <x:v>200</x:v>
      </x:c>
      <x:c r="J228" s="90" t="str">
        <x:v>{"opportunity_id":11,"title":"Summer BBQ volunteer crew","description":"Serve food and clean up at the annual summer community BBQ.","status":"closed","category":{"code":"community","name":"Community","description":"Physical tasks, community activities and event-based support."},"organization":{"organization_id":2,"name":"Bow River Community Food Bank","organization_type":"nonprofit","city":"Calgary"},"skills":[{"code":"customer-service","name":"Customer service"},{"code":"food-handling","name":"Food handling"}],"requirements":"Food handler certificate preferred.","location":"Calgary (Marlborough)","work_mode":"on_site","start_date":"2026-08-10","end_date":"2026-08-10","expected_hours":6.0,"compensation_type":"unpaid","compensation_amount":null,"compensation_details":"Volunteer role.","applicant_limit":8,"application_deadline":"2026-08-01T23:59:59Z","working_conditions":"One outdoor afternoon shift.","safety_information":"Sun protection and water provided; grill area is staff only.","accessibility_details":"Accessible park with paved paths.","published_at":"2026-07-01T14:00:00Z","created_at":"2026-07-01T13:00:00Z","updated_at":"2026-10-28T06:03:21Z"}</x:v>
      </x:c>
      <x:c r="K228" s="89" t="str">
        <x:v>Case duration 191 ms</x:v>
      </x:c>
    </x:row>
    <x:row r="229" ht="35" customHeight="1">
      <x:c r="A229" s="89" t="str">
        <x:v>GET-007</x:v>
      </x:c>
      <x:c r="B229" s="89" t="str">
        <x:v>Opportunity Details</x:v>
      </x:c>
      <x:c r="C229" s="89" t="str">
        <x:v>Passed</x:v>
      </x:c>
      <x:c r="D229" s="89" t="n">
        <x:v>1</x:v>
      </x:c>
      <x:c r="E229" s="89" t="str">
        <x:v>GET</x:v>
      </x:c>
      <x:c r="F229" s="89" t="str">
        <x:v>/api/v1/opportunities/10</x:v>
      </x:c>
      <x:c r="G229" s="90" t="str">
        <x:v>null</x:v>
      </x:c>
      <x:c r="H229" s="90" t="str">
        <x:v>null</x:v>
      </x:c>
      <x:c r="I229" s="90" t="n">
        <x:v>200</x:v>
      </x:c>
      <x:c r="J229" s="90" t="str">
        <x:v>{"opportunity_id":10,"title":"Warehouse inventory count","description":"Count and record stock levels before the winter drive.","status":"open","category":{"code":"community","name":"Community","description":"Physical tasks, community activities and event-based support."},"organization":{"organization_id":2,"name":"Bow River Community Food Bank","organization_type":"nonprofit","city":"Calgary"},"skills":[{"code":"inventory","name":"Inventory management"}],"requirements":"Attention to detail.","location":"Calgary (Marlborough)","work_mode":"on_site","start_date":"2026-10-15","end_date":"2026-10-16","expected_hours":8.0,"compensation_type":"unpaid","compensation_amount":null,"compensation_details":"Volunteer role.","applicant_limit":6,"application_deadline":"2026-10-10T23:59:59Z","working_conditions":"Two 4-hour shifts in the warehouse.","safety_information":"Closed-toe shoes required; no ladder work.","accessibility_details":"Ground-floor warehouse.","published_at":"2026-09-15T14:00:00Z","created_at":"2026-09-15T13:00:00Z","updated_at":"2026-10-28T06:03:21Z"}</x:v>
      </x:c>
      <x:c r="K229" s="89" t="str"/>
    </x:row>
    <x:row r="230" ht="35" customHeight="1">
      <x:c r="A230" s="89" t="str">
        <x:v>GET-007</x:v>
      </x:c>
      <x:c r="B230" s="89" t="str">
        <x:v>Opportunity Details</x:v>
      </x:c>
      <x:c r="C230" s="89" t="str">
        <x:v>Passed</x:v>
      </x:c>
      <x:c r="D230" s="89" t="n">
        <x:v>2</x:v>
      </x:c>
      <x:c r="E230" s="89" t="str">
        <x:v>GET</x:v>
      </x:c>
      <x:c r="F230" s="89" t="str">
        <x:v>/api/v1/opportunities</x:v>
      </x:c>
      <x:c r="G230" s="90" t="str">
        <x:v>{"limit":100}</x:v>
      </x:c>
      <x:c r="H230" s="90" t="str">
        <x:v>null</x:v>
      </x:c>
      <x:c r="I230" s="90" t="n">
        <x:v>200</x:v>
      </x:c>
      <x:c r="J230" s="90" t="str">
        <x:v>{"items":[{"opportunity_id":2,"title":"Inventory spreadsheet cleanup","description":"Merge three years of supplier spreadsheets into one clean inventory sheet.","status":"open","category":{"code":"knowledge","name":"Knowledge-based","description":"Digital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Bakery","organization_type":"small_business","city":"Calgary"},"skills":[{"code":"data-cleaning","name":"Data cleaning"},{"code":"inventory","name":"Inventory management"},{"code":"spreadsheets","name":"Spreadsheets"}],"requirements":"Comfortable with spreadsheet formulas and removing duplicates.","location":null,"work_mode":"remote","start_date":"2026-11-10","end_date":"2026-11-24","expected_hours":12.0,"compensation_type":"stipend","compensation_amount":150.0,"compensation_details":"Stipend paid at completion.","applicant_limit":1,"application_deadline":"2026-11-05T23:59:59Z","working_conditions":"Fully remote, self-paced.","safety_information":"Remote work; take regular screen breaks.","accessibility_details":"Remote; any assistive technology you already use is fine.","published_at":"2026-10-05T16:00:00Z","created_at":"2026-10-05T15:00:00Z","updated_at":"2026-10-28T06:03:21Z"},{"opportunity_id":12,"title":"Event photographer for community fun run","description":"Photograph the start, finish and award ceremony of a 5 km community run.","status":"open","category":{"code":"communit… [truncated]</x:v>
      </x:c>
      <x:c r="K230" s="89" t="str">
        <x:v>Case duration 174 ms</x:v>
      </x:c>
    </x:row>
    <x:row r="231" ht="35" customHeight="1">
      <x:c r="A231" s="89" t="str">
        <x:v>GET-008</x:v>
      </x:c>
      <x:c r="B231" s="89" t="str">
        <x:v>Opportunity Details</x:v>
      </x:c>
      <x:c r="C231" s="89" t="str">
        <x:v>Passed</x:v>
      </x:c>
      <x:c r="D231" s="89" t="n">
        <x:v>1</x:v>
      </x:c>
      <x:c r="E231" s="89" t="str">
        <x:v>GET</x:v>
      </x:c>
      <x:c r="F231" s="89" t="str">
        <x:v>/api/v1/opportunities/999999</x:v>
      </x:c>
      <x:c r="G231" s="90" t="str">
        <x:v>null</x:v>
      </x:c>
      <x:c r="H231" s="90" t="str">
        <x:v>null</x:v>
      </x:c>
      <x:c r="I231" s="90" t="n">
        <x:v>404</x:v>
      </x:c>
      <x:c r="J231" s="90" t="str">
        <x:v>{"error":{"code":"OPPORTUNITY_NOT_FOUND","message":"Opportunity not found"}}</x:v>
      </x:c>
      <x:c r="K231" s="89" t="str">
        <x:v>Case duration 158 ms</x:v>
      </x:c>
    </x:row>
    <x:row r="232" ht="35" customHeight="1">
      <x:c r="A232" s="89" t="str">
        <x:v>GET-009</x:v>
      </x:c>
      <x:c r="B232" s="89" t="str">
        <x:v>Opportunity Details</x:v>
      </x:c>
      <x:c r="C232" s="89" t="str">
        <x:v>Passed</x:v>
      </x:c>
      <x:c r="D232" s="89" t="n">
        <x:v>1</x:v>
      </x:c>
      <x:c r="E232" s="89" t="str">
        <x:v>GET</x:v>
      </x:c>
      <x:c r="F232" s="89" t="str">
        <x:v>/api/v1/opportunities/0</x:v>
      </x:c>
      <x:c r="G232" s="90" t="str">
        <x:v>null</x:v>
      </x:c>
      <x:c r="H232" s="90" t="str">
        <x:v>null</x:v>
      </x:c>
      <x:c r="I232" s="90" t="n">
        <x:v>422</x:v>
      </x:c>
      <x:c r="J232" s="90" t="str">
        <x:v>{"error":{"code":"VALIDATION_ERROR","message":"Request validation failed","details":[{"loc":["path","opportunity_id"],"message":"Input should be greater than or equal to 1","type":"greater_than_equal"}]}}</x:v>
      </x:c>
      <x:c r="K232" s="89" t="str">
        <x:v>Case duration 138 ms</x:v>
      </x:c>
    </x:row>
    <x:row r="233" ht="35" customHeight="1">
      <x:c r="A233" s="89" t="str">
        <x:v>GET-010</x:v>
      </x:c>
      <x:c r="B233" s="89" t="str">
        <x:v>Opportunity Details</x:v>
      </x:c>
      <x:c r="C233" s="89" t="str">
        <x:v>Passed</x:v>
      </x:c>
      <x:c r="D233" s="89" t="n">
        <x:v>1</x:v>
      </x:c>
      <x:c r="E233" s="89" t="str">
        <x:v>GET</x:v>
      </x:c>
      <x:c r="F233" s="89" t="str">
        <x:v>/api/v1/opportunities/1</x:v>
      </x:c>
      <x:c r="G233" s="90" t="str">
        <x:v>null</x:v>
      </x:c>
      <x:c r="H233" s="90" t="str">
        <x:v>null</x:v>
      </x:c>
      <x:c r="I233" s="90" t="n">
        <x:v>401</x:v>
      </x:c>
      <x:c r="J233" s="90" t="str">
        <x:v>{"error":{"code":"INVALID_TOKEN","message":"Invalid or expired token"}}</x:v>
      </x:c>
      <x:c r="K233" s="89" t="str">
        <x:v>Case duration 146 ms</x:v>
      </x:c>
    </x:row>
    <x:row r="234" ht="35" customHeight="1">
      <x:c r="A234" s="89" t="str">
        <x:v>CREATE-001</x:v>
      </x:c>
      <x:c r="B234" s="89" t="str">
        <x:v>Create Opportunity</x:v>
      </x:c>
      <x:c r="C234" s="89" t="str">
        <x:v>Passed</x:v>
      </x:c>
      <x:c r="D234" s="89" t="n">
        <x:v>1</x:v>
      </x:c>
      <x:c r="E234" s="89" t="str">
        <x:v>POST</x:v>
      </x:c>
      <x:c r="F234" s="89" t="str">
        <x:v>/api/v1/auth/login</x:v>
      </x:c>
      <x:c r="G234" s="90" t="str">
        <x:v>null</x:v>
      </x:c>
      <x:c r="H234" s="90" t="str">
        <x:v>{"email":"maple.bakery@grow8.dev","password":"&lt;redacted&gt;"}</x:v>
      </x:c>
      <x:c r="I234" s="90" t="n">
        <x:v>200</x:v>
      </x:c>
      <x:c r="J234" s="90" t="str">
        <x:v>{"access_token":"&lt;redacted&gt;","token_type":"bearer","expires_in":3600,"user":{"user_id":2,"email":"maple.bakery@grow8.dev","full_name":"Priya Nair","role":"creator"}}</x:v>
      </x:c>
      <x:c r="K234" s="89" t="str"/>
    </x:row>
    <x:row r="235" ht="35" customHeight="1">
      <x:c r="A235" s="89" t="str">
        <x:v>CREATE-001</x:v>
      </x:c>
      <x:c r="B235" s="89" t="str">
        <x:v>Create Opportunity</x:v>
      </x:c>
      <x:c r="C235" s="89" t="str">
        <x:v>Passed</x:v>
      </x:c>
      <x:c r="D235" s="89" t="n">
        <x:v>2</x:v>
      </x:c>
      <x:c r="E235" s="89" t="str">
        <x:v>POST</x:v>
      </x:c>
      <x:c r="F235" s="89" t="str">
        <x:v>/api/v1/opportunities</x:v>
      </x:c>
      <x:c r="G235" s="90" t="str">
        <x:v>null</x:v>
      </x:c>
      <x:c r="H235" s="90" t="str">
        <x:v>{"title":"Approved API test draft","description":"A valid draft for QA validation.","category":"knowledge"}</x:v>
      </x:c>
      <x:c r="I235" s="90" t="n">
        <x:v>201</x:v>
      </x:c>
      <x:c r="J235" s="90" t="str">
        <x:v>{"opportunity_id":16,"title":"Approved API test draft","description":"A valid draft for QA validation.","status":"draft","category":{"code":"knowledge","name":"Knowledge-based","description":"Digital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],"requirements":null,"location":null,"work_mode":null,"start_date":null,"end_date":null,"expected_hours":null,"compensation_type":null,"compensation_amount":null,"compensation_details":null,"applicant_limit":null,"application_deadline":null,"working_conditions":null,"safety_information":null,"accessibility_details":null,"published_at":null,"created_at":"2026-10-28T06:03:23Z","updated_at":"2026-10-28T06:03:23Z"}</x:v>
      </x:c>
      <x:c r="K235" s="89" t="str">
        <x:v>Case duration 759 ms</x:v>
      </x:c>
    </x:row>
    <x:row r="236" ht="35" customHeight="1">
      <x:c r="A236" s="89" t="str">
        <x:v>CREATE-002</x:v>
      </x:c>
      <x:c r="B236" s="89" t="str">
        <x:v>Create Opportunity</x:v>
      </x:c>
      <x:c r="C236" s="89" t="str">
        <x:v>Passed</x:v>
      </x:c>
      <x:c r="D236" s="89" t="n">
        <x:v>1</x:v>
      </x:c>
      <x:c r="E236" s="89" t="str">
        <x:v>POST</x:v>
      </x:c>
      <x:c r="F236" s="89" t="str">
        <x:v>/api/v1/auth/login</x:v>
      </x:c>
      <x:c r="G236" s="90" t="str">
        <x:v>null</x:v>
      </x:c>
      <x:c r="H236" s="90" t="str">
        <x:v>{"email":"maple.bakery@grow8.dev","password":"&lt;redacted&gt;"}</x:v>
      </x:c>
      <x:c r="I236" s="90" t="n">
        <x:v>200</x:v>
      </x:c>
      <x:c r="J236" s="90" t="str">
        <x:v>{"access_token":"&lt;redacted&gt;","token_type":"bearer","expires_in":3600,"user":{"user_id":2,"email":"maple.bakery@grow8.dev","full_name":"Priya Nair","role":"creator"}}</x:v>
      </x:c>
      <x:c r="K236" s="89" t="str"/>
    </x:row>
    <x:row r="237" ht="35" customHeight="1">
      <x:c r="A237" s="89" t="str">
        <x:v>CREATE-002</x:v>
      </x:c>
      <x:c r="B237" s="89" t="str">
        <x:v>Create Opportunity</x:v>
      </x:c>
      <x:c r="C237" s="89" t="str">
        <x:v>Passed</x:v>
      </x:c>
      <x:c r="D237" s="89" t="n">
        <x:v>2</x:v>
      </x:c>
      <x:c r="E237" s="89" t="str">
        <x:v>POST</x:v>
      </x:c>
      <x:c r="F237" s="89" t="str">
        <x:v>/api/v1/opportunities</x:v>
      </x:c>
      <x:c r="G237" s="90" t="str">
        <x:v>null</x:v>
      </x:c>
      <x:c r="H237" s="90" t="str">
        <x:v>{"title":"Approved QA Inventory Project","description":"Record and organize donated inventory for the team.","category":"community","skills":["inventory","spreadsheets"],"requirements":"Attention to detail","location":"Calgary","work_mode":"remote","start_date":"2027-03-01","end_date":"2027-03-20","expected_hours":8,"compensation_type":"paid","compensation_amount":160,"compensation_details":"Fixed honorarium","applicant_limit":3,"application_deadline":"2027-02-15T23:59:00-07:00","working_conditions":"Flexible daytime hours","safety_information":"Remote work with normal computer precautions","accessibility_details":"Flexible scheduling and screen-reader-friendly records"}</x:v>
      </x:c>
      <x:c r="I237" s="90" t="n">
        <x:v>201</x:v>
      </x:c>
      <x:c r="J237" s="90" t="str">
        <x:v>{"opportunity_id":17,"title":"Approved QA Inventory Project","description":"Record and organize donated inventory for the team.","status":"draft","category":{"code":"community","name":"Community","description":"Physical tasks, community activities and event-based support."},"organization":{"organization_id":1,"name":"Maple Street Bakery","organization_type":"small_business","city":"Calgary"},"skills":[{"code":"inventory","name":"Inventory management"},{"code":"spreadsheets","name":"Spreadsheets"}],"requirements":"Attention to detail","location":"Calgary","work_mode":"remote","start_date":"2027-03-01","end_date":"2027-03-20","expected_hours":8.0,"compensation_type":"paid","compensation_amount":160.0,"compensation_details":"Fixed honorarium","applicant_limit":3,"application_deadline":"2027-02-16T06:59:00Z","working_conditions":"Flexible daytime hours","safety_information":"Remote work with normal computer precautions","accessibility_details":"Flexible scheduling and screen-reader-friendly records","published_at":null,"created_at":"2026-10-28T06:03:23Z","updated_at":"2026-10-28T06:03:23Z"}</x:v>
      </x:c>
      <x:c r="K237" s="89" t="str">
        <x:v>Case duration 700 ms</x:v>
      </x:c>
    </x:row>
    <x:row r="238" ht="35" customHeight="1">
      <x:c r="A238" s="89" t="str">
        <x:v>CREATE-003</x:v>
      </x:c>
      <x:c r="B238" s="89" t="str">
        <x:v>Create Opportunity</x:v>
      </x:c>
      <x:c r="C238" s="89" t="str">
        <x:v>Passed</x:v>
      </x:c>
      <x:c r="D238" s="89" t="n">
        <x:v>1</x:v>
      </x:c>
      <x:c r="E238" s="89" t="str">
        <x:v>POST</x:v>
      </x:c>
      <x:c r="F238" s="89" t="str">
        <x:v>/api/v1/auth/login</x:v>
      </x:c>
      <x:c r="G238" s="90" t="str">
        <x:v>null</x:v>
      </x:c>
      <x:c r="H238" s="90" t="str">
        <x:v>{"email":"maple.bakery@grow8.dev","password":"&lt;redacted&gt;"}</x:v>
      </x:c>
      <x:c r="I238" s="90" t="n">
        <x:v>200</x:v>
      </x:c>
      <x:c r="J238" s="90" t="str">
        <x:v>{"access_token":"&lt;redacted&gt;","token_type":"bearer","expires_in":3600,"user":{"user_id":2,"email":"maple.bakery@grow8.dev","full_name":"Priya Nair","role":"creator"}}</x:v>
      </x:c>
      <x:c r="K238" s="89" t="str"/>
    </x:row>
    <x:row r="239" ht="35" customHeight="1">
      <x:c r="A239" s="89" t="str">
        <x:v>CREATE-003</x:v>
      </x:c>
      <x:c r="B239" s="89" t="str">
        <x:v>Create Opportunity</x:v>
      </x:c>
      <x:c r="C239" s="89" t="str">
        <x:v>Passed</x:v>
      </x:c>
      <x:c r="D239" s="89" t="n">
        <x:v>2</x:v>
      </x:c>
      <x:c r="E239" s="89" t="str">
        <x:v>POST</x:v>
      </x:c>
      <x:c r="F239" s="89" t="str">
        <x:v>/api/v1/opportunities</x:v>
      </x:c>
      <x:c r="G239" s="90" t="str">
        <x:v>null</x:v>
      </x:c>
      <x:c r="H239" s="90" t="str">
        <x:v>{"title":"Approved API test draft","description":"A valid draft for QA validation.","category":"knowledge"}</x:v>
      </x:c>
      <x:c r="I239" s="90" t="n">
        <x:v>201</x:v>
      </x:c>
      <x:c r="J239" s="90" t="str">
        <x:v>{"opportunity_id":18,"title":"Approved API test draft","description":"A valid draft for QA validation.","status":"draft","category":{"code":"knowledge","name":"Knowledge-based","description":"Digital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],"requirements":null,"location":null,"work_mode":null,"start_date":null,"end_date":null,"expected_hours":null,"compensation_type":null,"compensation_amount":null,"compensation_details":null,"applicant_limit":null,"application_deadline":null,"working_conditions":null,"safety_information":null,"accessibility_details":null,"published_at":null,"created_at":"2026-10-28T06:03:24Z","updated_at":"2026-10-28T06:03:24Z"}</x:v>
      </x:c>
      <x:c r="K239" s="89" t="str"/>
    </x:row>
    <x:row r="240" ht="35" customHeight="1">
      <x:c r="A240" s="89" t="str">
        <x:v>CREATE-003</x:v>
      </x:c>
      <x:c r="B240" s="89" t="str">
        <x:v>Create Opportunity</x:v>
      </x:c>
      <x:c r="C240" s="89" t="str">
        <x:v>Passed</x:v>
      </x:c>
      <x:c r="D240" s="89" t="n">
        <x:v>3</x:v>
      </x:c>
      <x:c r="E240" s="89" t="str">
        <x:v>GET</x:v>
      </x:c>
      <x:c r="F240" s="89" t="str">
        <x:v>/api/v1/opportunities/18</x:v>
      </x:c>
      <x:c r="G240" s="90" t="str">
        <x:v>null</x:v>
      </x:c>
      <x:c r="H240" s="90" t="str">
        <x:v>null</x:v>
      </x:c>
      <x:c r="I240" s="90" t="n">
        <x:v>200</x:v>
      </x:c>
      <x:c r="J240" s="90" t="str">
        <x:v>{"opportunity_id":18,"title":"Approved API test draft","description":"A valid draft for QA validation.","status":"draft","category":{"code":"knowledge","name":"Knowledge-based","description":"Digital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],"requirements":null,"location":null,"work_mode":null,"start_date":null,"end_date":null,"expected_hours":null,"compensation_type":null,"compensation_amount":null,"compensation_details":null,"applicant_limit":null,"application_deadline":null,"working_conditions":null,"safety_information":null,"accessibility_details":null,"published_at":null,"created_at":"2026-10-28T06:03:24Z","updated_at":"2026-10-28T06:03:24Z"}</x:v>
      </x:c>
      <x:c r="K240" s="89" t="str"/>
    </x:row>
    <x:row r="241" ht="35" customHeight="1">
      <x:c r="A241" s="89" t="str">
        <x:v>CREATE-003</x:v>
      </x:c>
      <x:c r="B241" s="89" t="str">
        <x:v>Create Opportunity</x:v>
      </x:c>
      <x:c r="C241" s="89" t="str">
        <x:v>Passed</x:v>
      </x:c>
      <x:c r="D241" s="89" t="n">
        <x:v>4</x:v>
      </x:c>
      <x:c r="E241" s="89" t="str">
        <x:v>GET</x:v>
      </x:c>
      <x:c r="F241" s="89" t="str">
        <x:v>/api/v1/opportunities</x:v>
      </x:c>
      <x:c r="G241" s="90" t="str">
        <x:v>{"limit":100}</x:v>
      </x:c>
      <x:c r="H241" s="90" t="str">
        <x:v>null</x:v>
      </x:c>
      <x:c r="I241" s="90" t="n">
        <x:v>200</x:v>
      </x:c>
      <x:c r="J241" s="90" t="str">
        <x:v>{"items":[{"opportunity_id":2,"title":"Inventory spreadsheet cleanup","description":"Merge three years of supplier spreadsheets into one clean inventory sheet.","status":"open","category":{"code":"knowledge","name":"Knowledge-based","description":"Digital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Bakery","organization_type":"small_business","city":"Calgary"},"skills":[{"code":"data-cleaning","name":"Data cleaning"},{"code":"inventory","name":"Inventory management"},{"code":"spreadsheets","name":"Spreadsheets"}],"requirements":"Comfortable with spreadsheet formulas and removing duplicates.","location":null,"work_mode":"remote","start_date":"2026-11-10","end_date":"2026-11-24","expected_hours":12.0,"compensation_type":"stipend","compensation_amount":150.0,"compensation_details":"Stipend paid at completion.","applicant_limit":1,"application_deadline":"2026-11-05T23:59:59Z","working_conditions":"Fully remote, self-paced.","safety_information":"Remote work; take regular screen breaks.","accessibility_details":"Remote; any assistive technology you already use is fine.","published_at":"2026-10-05T16:00:00Z","created_at":"2026-10-05T15:00:00Z","updated_at":"2026-10-28T06:03:23Z"},{"opportunity_id":12,"title":"Event photographer for community fun run","description":"Photograph the start, finish and award ceremony of a 5 km community run.","status":"open","category":{"code":"communit… [truncated]</x:v>
      </x:c>
      <x:c r="K241" s="89" t="str">
        <x:v>Case duration 748 ms</x:v>
      </x:c>
    </x:row>
    <x:row r="242" ht="35" customHeight="1">
      <x:c r="A242" s="89" t="str">
        <x:v>CREATE-004</x:v>
      </x:c>
      <x:c r="B242" s="89" t="str">
        <x:v>Create Opportunity</x:v>
      </x:c>
      <x:c r="C242" s="89" t="str">
        <x:v>Passed</x:v>
      </x:c>
      <x:c r="D242" s="89" t="n">
        <x:v>1</x:v>
      </x:c>
      <x:c r="E242" s="89" t="str">
        <x:v>POST</x:v>
      </x:c>
      <x:c r="F242" s="89" t="str">
        <x:v>/api/v1/auth/login</x:v>
      </x:c>
      <x:c r="G242" s="90" t="str">
        <x:v>null</x:v>
      </x:c>
      <x:c r="H242" s="90" t="str">
        <x:v>{"email":"maple.bakery@grow8.dev","password":"&lt;redacted&gt;"}</x:v>
      </x:c>
      <x:c r="I242" s="90" t="n">
        <x:v>200</x:v>
      </x:c>
      <x:c r="J242" s="90" t="str">
        <x:v>{"access_token":"&lt;redacted&gt;","token_type":"bearer","expires_in":3600,"user":{"user_id":2,"email":"maple.bakery@grow8.dev","full_name":"Priya Nair","role":"creator"}}</x:v>
      </x:c>
      <x:c r="K242" s="89" t="str"/>
    </x:row>
    <x:row r="243" ht="35" customHeight="1">
      <x:c r="A243" s="89" t="str">
        <x:v>CREATE-004</x:v>
      </x:c>
      <x:c r="B243" s="89" t="str">
        <x:v>Create Opportunity</x:v>
      </x:c>
      <x:c r="C243" s="89" t="str">
        <x:v>Passed</x:v>
      </x:c>
      <x:c r="D243" s="89" t="n">
        <x:v>2</x:v>
      </x:c>
      <x:c r="E243" s="89" t="str">
        <x:v>POST</x:v>
      </x:c>
      <x:c r="F243" s="89" t="str">
        <x:v>/api/v1/opportunities</x:v>
      </x:c>
      <x:c r="G243" s="90" t="str">
        <x:v>null</x:v>
      </x:c>
      <x:c r="H243" s="90" t="str">
        <x:v>{"title":"Approved API test draft","description":"A valid draft for QA validation.","category":"knowledge"}</x:v>
      </x:c>
      <x:c r="I243" s="90" t="n">
        <x:v>201</x:v>
      </x:c>
      <x:c r="J243" s="90" t="str">
        <x:v>{"opportunity_id":19,"title":"Approved API test draft","description":"A valid draft for QA validation.","status":"draft","category":{"code":"knowledge","name":"Knowledge-based","description":"Digital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],"requirements":null,"location":null,"work_mode":null,"start_date":null,"end_date":null,"expected_hours":null,"compensation_type":null,"compensation_amount":null,"compensation_details":null,"applicant_limit":null,"application_deadline":null,"working_conditions":null,"safety_information":null,"accessibility_details":null,"published_at":null,"created_at":"2026-10-28T06:03:25Z","updated_at":"2026-10-28T06:03:25Z"}</x:v>
      </x:c>
      <x:c r="K243" s="89" t="str"/>
    </x:row>
    <x:row r="244" ht="35" customHeight="1">
      <x:c r="A244" s="89" t="str">
        <x:v>CREATE-004</x:v>
      </x:c>
      <x:c r="B244" s="89" t="str">
        <x:v>Create Opportunity</x:v>
      </x:c>
      <x:c r="C244" s="89" t="str">
        <x:v>Passed</x:v>
      </x:c>
      <x:c r="D244" s="89" t="n">
        <x:v>3</x:v>
      </x:c>
      <x:c r="E244" s="89" t="str">
        <x:v>GET</x:v>
      </x:c>
      <x:c r="F244" s="89" t="str">
        <x:v>/api/v1/opportunities/mine</x:v>
      </x:c>
      <x:c r="G244" s="90" t="str">
        <x:v>null</x:v>
      </x:c>
      <x:c r="H244" s="90" t="str">
        <x:v>null</x:v>
      </x:c>
      <x:c r="I244" s="90" t="n">
        <x:v>200</x:v>
      </x:c>
      <x:c r="J244" s="90" t="str">
        <x:v>{"items":[{"opportunity_id":19,"title":"Approved API test draft","description":"A valid draft for QA validation.","status":"draft","category":{"code":"knowledge","name":"Knowledge-based","description":"Digital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],"requirements":null,"location":null,"work_mode":null,"start_date":null,"end_date":null,"expected_hours":null,"compensation_type":null,"compensation_amount":null,"compensation_details":null,"applicant_limit":null,"application_deadline":null,"working_conditions":null,"safety_information":null,"accessibility_details":null,"published_at":null,"created_at":"2026-10-28T06:03:25Z","updated_at":"2026-10-28T06:03:25Z"},{"opportunity_id":14,"title":"Point-of-sale menu photo shoot","description":"Photograph our menu items for the new point-of-sale screens.","status":"draft","category":{"code":"knowledge","name":"Knowledge-based","description":"Digital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Bakery","organization_type":"small_business","city":"Calgary"},"skills":[{"code":"photography","name":"Photography"}],"requirements":null,"location":"Calgary (Kensington)","work_mode":"on_site","start_date":null,"end_date":null,"expected_hours":6.0,"compensation_type":"paid","compensation_amou… [truncated]</x:v>
      </x:c>
      <x:c r="K244" s="89" t="str">
        <x:v>Case duration 708 ms</x:v>
      </x:c>
    </x:row>
    <x:row r="245" ht="35" customHeight="1">
      <x:c r="A245" s="89" t="str">
        <x:v>CREATE-005</x:v>
      </x:c>
      <x:c r="B245" s="89" t="str">
        <x:v>Create Opportunity</x:v>
      </x:c>
      <x:c r="C245" s="89" t="str">
        <x:v>Passed</x:v>
      </x:c>
      <x:c r="D245" s="89" t="n">
        <x:v>1</x:v>
      </x:c>
      <x:c r="E245" s="89" t="str">
        <x:v>POST</x:v>
      </x:c>
      <x:c r="F245" s="89" t="str">
        <x:v>/api/v1/auth/login</x:v>
      </x:c>
      <x:c r="G245" s="90" t="str">
        <x:v>null</x:v>
      </x:c>
      <x:c r="H245" s="90" t="str">
        <x:v>{"email":"maple.bakery@grow8.dev","password":"&lt;redacted&gt;"}</x:v>
      </x:c>
      <x:c r="I245" s="90" t="n">
        <x:v>200</x:v>
      </x:c>
      <x:c r="J245" s="90" t="str">
        <x:v>{"access_token":"&lt;redacted&gt;","token_type":"bearer","expires_in":3600,"user":{"user_id":2,"email":"maple.bakery@grow8.dev","full_name":"Priya Nair","role":"creator"}}</x:v>
      </x:c>
      <x:c r="K245" s="89" t="str"/>
    </x:row>
    <x:row r="246" ht="35" customHeight="1">
      <x:c r="A246" s="89" t="str">
        <x:v>CREATE-005</x:v>
      </x:c>
      <x:c r="B246" s="89" t="str">
        <x:v>Create Opportunity</x:v>
      </x:c>
      <x:c r="C246" s="89" t="str">
        <x:v>Passed</x:v>
      </x:c>
      <x:c r="D246" s="89" t="n">
        <x:v>2</x:v>
      </x:c>
      <x:c r="E246" s="89" t="str">
        <x:v>POST</x:v>
      </x:c>
      <x:c r="F246" s="89" t="str">
        <x:v>/api/v1/opportunities</x:v>
      </x:c>
      <x:c r="G246" s="90" t="str">
        <x:v>null</x:v>
      </x:c>
      <x:c r="H246" s="90" t="str">
        <x:v>{"title":"Approved API test draft","description":"A valid draft for QA validation.","category":"knowledge"}</x:v>
      </x:c>
      <x:c r="I246" s="90" t="n">
        <x:v>401</x:v>
      </x:c>
      <x:c r="J246" s="90" t="str">
        <x:v>{"error":{"code":"AUTH_REQUIRED","message":"Authentication required"}}</x:v>
      </x:c>
      <x:c r="K246" s="89" t="str">
        <x:v>Case duration 677 ms</x:v>
      </x:c>
    </x:row>
    <x:row r="247" ht="35" customHeight="1">
      <x:c r="A247" s="89" t="str">
        <x:v>CREATE-006</x:v>
      </x:c>
      <x:c r="B247" s="89" t="str">
        <x:v>Create Opportunity</x:v>
      </x:c>
      <x:c r="C247" s="89" t="str">
        <x:v>Passed</x:v>
      </x:c>
      <x:c r="D247" s="89" t="n">
        <x:v>1</x:v>
      </x:c>
      <x:c r="E247" s="89" t="str">
        <x:v>POST</x:v>
      </x:c>
      <x:c r="F247" s="89" t="str">
        <x:v>/api/v1/auth/login</x:v>
      </x:c>
      <x:c r="G247" s="90" t="str">
        <x:v>null</x:v>
      </x:c>
      <x:c r="H247" s="90" t="str">
        <x:v>{"email":"maple.bakery@grow8.dev","password":"&lt;redacted&gt;"}</x:v>
      </x:c>
      <x:c r="I247" s="90" t="n">
        <x:v>200</x:v>
      </x:c>
      <x:c r="J247" s="90" t="str">
        <x:v>{"access_token":"&lt;redacted&gt;","token_type":"bearer","expires_in":3600,"user":{"user_id":2,"email":"maple.bakery@grow8.dev","full_name":"Priya Nair","role":"creator"}}</x:v>
      </x:c>
      <x:c r="K247" s="89" t="str"/>
    </x:row>
    <x:row r="248" ht="35" customHeight="1">
      <x:c r="A248" s="89" t="str">
        <x:v>CREATE-006</x:v>
      </x:c>
      <x:c r="B248" s="89" t="str">
        <x:v>Create Opportunity</x:v>
      </x:c>
      <x:c r="C248" s="89" t="str">
        <x:v>Passed</x:v>
      </x:c>
      <x:c r="D248" s="89" t="n">
        <x:v>2</x:v>
      </x:c>
      <x:c r="E248" s="89" t="str">
        <x:v>POST</x:v>
      </x:c>
      <x:c r="F248" s="89" t="str">
        <x:v>/api/v1/opportunities</x:v>
      </x:c>
      <x:c r="G248" s="90" t="str">
        <x:v>null</x:v>
      </x:c>
      <x:c r="H248" s="90" t="str">
        <x:v>{"title":"Approved API test draft","description":"A valid draft for QA validation.","category":"knowledge"}</x:v>
      </x:c>
      <x:c r="I248" s="90" t="n">
        <x:v>401</x:v>
      </x:c>
      <x:c r="J248" s="90" t="str">
        <x:v>{"error":{"code":"INVALID_TOKEN","message":"Invalid or expired token"}}</x:v>
      </x:c>
      <x:c r="K248" s="89" t="str">
        <x:v>Case duration 643 ms</x:v>
      </x:c>
    </x:row>
    <x:row r="249" ht="35" customHeight="1">
      <x:c r="A249" s="89" t="str">
        <x:v>CREATE-007</x:v>
      </x:c>
      <x:c r="B249" s="89" t="str">
        <x:v>Create Opportunity</x:v>
      </x:c>
      <x:c r="C249" s="89" t="str">
        <x:v>Passed</x:v>
      </x:c>
      <x:c r="D249" s="89" t="n">
        <x:v>1</x:v>
      </x:c>
      <x:c r="E249" s="89" t="str">
        <x:v>POST</x:v>
      </x:c>
      <x:c r="F249" s="89" t="str">
        <x:v>/api/v1/auth/login</x:v>
      </x:c>
      <x:c r="G249" s="90" t="str">
        <x:v>null</x:v>
      </x:c>
      <x:c r="H249" s="90" t="str">
        <x:v>{"email":"maple.bakery@grow8.dev","password":"&lt;redacted&gt;"}</x:v>
      </x:c>
      <x:c r="I249" s="90" t="n">
        <x:v>200</x:v>
      </x:c>
      <x:c r="J249" s="90" t="str">
        <x:v>{"access_token":"&lt;redacted&gt;","token_type":"bearer","expires_in":3600,"user":{"user_id":2,"email":"maple.bakery@grow8.dev","full_name":"Priya Nair","role":"creator"}}</x:v>
      </x:c>
      <x:c r="K249" s="89" t="str"/>
    </x:row>
    <x:row r="250" ht="35" customHeight="1">
      <x:c r="A250" s="89" t="str">
        <x:v>CREATE-007</x:v>
      </x:c>
      <x:c r="B250" s="89" t="str">
        <x:v>Create Opportunity</x:v>
      </x:c>
      <x:c r="C250" s="89" t="str">
        <x:v>Passed</x:v>
      </x:c>
      <x:c r="D250" s="89" t="n">
        <x:v>2</x:v>
      </x:c>
      <x:c r="E250" s="89" t="str">
        <x:v>POST</x:v>
      </x:c>
      <x:c r="F250" s="89" t="str">
        <x:v>/api/v1/auth/login</x:v>
      </x:c>
      <x:c r="G250" s="90" t="str">
        <x:v>null</x:v>
      </x:c>
      <x:c r="H250" s="90" t="str">
        <x:v>{"email":"alex.chen@grow8.dev","password":"&lt;redacted&gt;"}</x:v>
      </x:c>
      <x:c r="I250" s="90" t="n">
        <x:v>200</x:v>
      </x:c>
      <x:c r="J250" s="90" t="str">
        <x:v>{"access_token":"&lt;redacted&gt;","token_type":"bearer","expires_in":3600,"user":{"user_id":5,"email":"alex.chen@grow8.dev","full_name":"Alex Chen","role":"contributor"}}</x:v>
      </x:c>
      <x:c r="K250" s="89" t="str"/>
    </x:row>
    <x:row r="251" ht="35" customHeight="1">
      <x:c r="A251" s="89" t="str">
        <x:v>CREATE-007</x:v>
      </x:c>
      <x:c r="B251" s="89" t="str">
        <x:v>Create Opportunity</x:v>
      </x:c>
      <x:c r="C251" s="89" t="str">
        <x:v>Passed</x:v>
      </x:c>
      <x:c r="D251" s="89" t="n">
        <x:v>3</x:v>
      </x:c>
      <x:c r="E251" s="89" t="str">
        <x:v>POST</x:v>
      </x:c>
      <x:c r="F251" s="89" t="str">
        <x:v>/api/v1/opportunities</x:v>
      </x:c>
      <x:c r="G251" s="90" t="str">
        <x:v>null</x:v>
      </x:c>
      <x:c r="H251" s="90" t="str">
        <x:v>{"title":"Approved API test draft","description":"A valid draft for QA validation.","category":"knowledge"}</x:v>
      </x:c>
      <x:c r="I251" s="90" t="n">
        <x:v>403</x:v>
      </x:c>
      <x:c r="J251" s="90" t="str">
        <x:v>{"error":{"code":"ROLE_FORBIDDEN","message":"This action requires role: creator"}}</x:v>
      </x:c>
      <x:c r="K251" s="89" t="str"/>
    </x:row>
    <x:row r="252" ht="35" customHeight="1">
      <x:c r="A252" s="89" t="str">
        <x:v>CREATE-007</x:v>
      </x:c>
      <x:c r="B252" s="89" t="str">
        <x:v>Create Opportunity</x:v>
      </x:c>
      <x:c r="C252" s="89" t="str">
        <x:v>Passed</x:v>
      </x:c>
      <x:c r="D252" s="89" t="n">
        <x:v>4</x:v>
      </x:c>
      <x:c r="E252" s="89" t="str">
        <x:v>POST</x:v>
      </x:c>
      <x:c r="F252" s="89" t="str">
        <x:v>/api/v1/auth/login</x:v>
      </x:c>
      <x:c r="G252" s="90" t="str">
        <x:v>null</x:v>
      </x:c>
      <x:c r="H252" s="90" t="str">
        <x:v>{"email":"admin@grow8.dev","password":"&lt;redacted&gt;"}</x:v>
      </x:c>
      <x:c r="I252" s="90" t="n">
        <x:v>200</x:v>
      </x:c>
      <x:c r="J252" s="90" t="str">
        <x:v>{"access_token":"&lt;redacted&gt;","token_type":"bearer","expires_in":3600,"user":{"user_id":1,"email":"admin@grow8.dev","full_name":"Ada Admin","role":"admin"}}</x:v>
      </x:c>
      <x:c r="K252" s="89" t="str"/>
    </x:row>
    <x:row r="253" ht="35" customHeight="1">
      <x:c r="A253" s="89" t="str">
        <x:v>CREATE-007</x:v>
      </x:c>
      <x:c r="B253" s="89" t="str">
        <x:v>Create Opportunity</x:v>
      </x:c>
      <x:c r="C253" s="89" t="str">
        <x:v>Passed</x:v>
      </x:c>
      <x:c r="D253" s="89" t="n">
        <x:v>5</x:v>
      </x:c>
      <x:c r="E253" s="89" t="str">
        <x:v>POST</x:v>
      </x:c>
      <x:c r="F253" s="89" t="str">
        <x:v>/api/v1/opportunities</x:v>
      </x:c>
      <x:c r="G253" s="90" t="str">
        <x:v>null</x:v>
      </x:c>
      <x:c r="H253" s="90" t="str">
        <x:v>{"title":"Approved API test draft","description":"A valid draft for QA validation.","category":"knowledge"}</x:v>
      </x:c>
      <x:c r="I253" s="90" t="n">
        <x:v>403</x:v>
      </x:c>
      <x:c r="J253" s="90" t="str">
        <x:v>{"error":{"code":"ROLE_FORBIDDEN","message":"This action requires role: creator"}}</x:v>
      </x:c>
      <x:c r="K253" s="89" t="str">
        <x:v>Case duration 00:00:02</x:v>
      </x:c>
    </x:row>
    <x:row r="254" ht="35" customHeight="1">
      <x:c r="A254" s="89" t="str">
        <x:v>CREATE-008</x:v>
      </x:c>
      <x:c r="B254" s="89" t="str">
        <x:v>Create Opportunity</x:v>
      </x:c>
      <x:c r="C254" s="89" t="str">
        <x:v>Passed</x:v>
      </x:c>
      <x:c r="D254" s="89" t="n">
        <x:v>1</x:v>
      </x:c>
      <x:c r="E254" s="89" t="str">
        <x:v>POST</x:v>
      </x:c>
      <x:c r="F254" s="89" t="str">
        <x:v>/api/v1/auth/login</x:v>
      </x:c>
      <x:c r="G254" s="90" t="str">
        <x:v>null</x:v>
      </x:c>
      <x:c r="H254" s="90" t="str">
        <x:v>{"email":"maple.bakery@grow8.dev","password":"&lt;redacted&gt;"}</x:v>
      </x:c>
      <x:c r="I254" s="90" t="n">
        <x:v>200</x:v>
      </x:c>
      <x:c r="J254" s="90" t="str">
        <x:v>{"access_token":"&lt;redacted&gt;","token_type":"bearer","expires_in":3600,"user":{"user_id":2,"email":"maple.bakery@grow8.dev","full_name":"Priya Nair","role":"creator"}}</x:v>
      </x:c>
      <x:c r="K254" s="89" t="str"/>
    </x:row>
    <x:row r="255" ht="35" customHeight="1">
      <x:c r="A255" s="89" t="str">
        <x:v>CREATE-008</x:v>
      </x:c>
      <x:c r="B255" s="89" t="str">
        <x:v>Create Opportunity</x:v>
      </x:c>
      <x:c r="C255" s="89" t="str">
        <x:v>Passed</x:v>
      </x:c>
      <x:c r="D255" s="89" t="n">
        <x:v>2</x:v>
      </x:c>
      <x:c r="E255" s="89" t="str">
        <x:v>POST</x:v>
      </x:c>
      <x:c r="F255" s="89" t="str">
        <x:v>/api/v1/auth/login</x:v>
      </x:c>
      <x:c r="G255" s="90" t="str">
        <x:v>null</x:v>
      </x:c>
      <x:c r="H255" s="90" t="str">
        <x:v>{"email":"jordan.lee@grow8.dev","password":"&lt;redacted&gt;"}</x:v>
      </x:c>
      <x:c r="I255" s="90" t="n">
        <x:v>200</x:v>
      </x:c>
      <x:c r="J255" s="90" t="str">
        <x:v>{"access_token":"&lt;redacted&gt;","token_type":"bearer","expires_in":3600,"user":{"user_id":6,"email":"jordan.lee@grow8.dev","full_name":"Jordan Lee","role":"creator"}}</x:v>
      </x:c>
      <x:c r="K255" s="89" t="str"/>
    </x:row>
    <x:row r="256" ht="35" customHeight="1">
      <x:c r="A256" s="89" t="str">
        <x:v>CREATE-008</x:v>
      </x:c>
      <x:c r="B256" s="89" t="str">
        <x:v>Create Opportunity</x:v>
      </x:c>
      <x:c r="C256" s="89" t="str">
        <x:v>Passed</x:v>
      </x:c>
      <x:c r="D256" s="89" t="n">
        <x:v>3</x:v>
      </x:c>
      <x:c r="E256" s="89" t="str">
        <x:v>POST</x:v>
      </x:c>
      <x:c r="F256" s="89" t="str">
        <x:v>/api/v1/opportunities</x:v>
      </x:c>
      <x:c r="G256" s="90" t="str">
        <x:v>null</x:v>
      </x:c>
      <x:c r="H256" s="90" t="str">
        <x:v>{"title":"Approved API test draft","description":"A valid draft for QA validation.","category":"knowledge"}</x:v>
      </x:c>
      <x:c r="I256" s="90" t="n">
        <x:v>409</x:v>
      </x:c>
      <x:c r="J256" s="90" t="str">
        <x:v>{"error":{"code":"ORGANIZATION_REQUIRED","message":"Your account has no organization to post opportunities for"}}</x:v>
      </x:c>
      <x:c r="K256" s="89" t="str">
        <x:v>Case duration 00:00:01</x:v>
      </x:c>
    </x:row>
    <x:row r="257" ht="35" customHeight="1">
      <x:c r="A257" s="89" t="str">
        <x:v>CREATE-009</x:v>
      </x:c>
      <x:c r="B257" s="89" t="str">
        <x:v>Create Opportunity</x:v>
      </x:c>
      <x:c r="C257" s="89" t="str">
        <x:v>Passed</x:v>
      </x:c>
      <x:c r="D257" s="89" t="n">
        <x:v>1</x:v>
      </x:c>
      <x:c r="E257" s="89" t="str">
        <x:v>POST</x:v>
      </x:c>
      <x:c r="F257" s="89" t="str">
        <x:v>/api/v1/auth/login</x:v>
      </x:c>
      <x:c r="G257" s="90" t="str">
        <x:v>null</x:v>
      </x:c>
      <x:c r="H257" s="90" t="str">
        <x:v>{"email":"maple.bakery@grow8.dev","password":"&lt;redacted&gt;"}</x:v>
      </x:c>
      <x:c r="I257" s="90" t="n">
        <x:v>200</x:v>
      </x:c>
      <x:c r="J257" s="90" t="str">
        <x:v>{"access_token":"&lt;redacted&gt;","token_type":"bearer","expires_in":3600,"user":{"user_id":2,"email":"maple.bakery@grow8.dev","full_name":"Priya Nair","role":"creator"}}</x:v>
      </x:c>
      <x:c r="K257" s="89" t="str"/>
    </x:row>
    <x:row r="258" ht="35" customHeight="1">
      <x:c r="A258" s="89" t="str">
        <x:v>CREATE-009</x:v>
      </x:c>
      <x:c r="B258" s="89" t="str">
        <x:v>Create Opportunity</x:v>
      </x:c>
      <x:c r="C258" s="89" t="str">
        <x:v>Passed</x:v>
      </x:c>
      <x:c r="D258" s="89" t="n">
        <x:v>2</x:v>
      </x:c>
      <x:c r="E258" s="89" t="str">
        <x:v>POST</x:v>
      </x:c>
      <x:c r="F258" s="89" t="str">
        <x:v>/api/v1/opportunities</x:v>
      </x:c>
      <x:c r="G258" s="90" t="str">
        <x:v>null</x:v>
      </x:c>
      <x:c r="H258" s="90" t="str">
        <x:v>{"description":"A valid draft for QA validation.","category":"knowledge"}</x:v>
      </x:c>
      <x:c r="I258" s="90" t="n">
        <x:v>422</x:v>
      </x:c>
      <x:c r="J258" s="90" t="str">
        <x:v>{"error":{"code":"VALIDATION_ERROR","message":"Request validation failed","details":[{"loc":["body","title"],"message":"Field required","type":"missing"}]}}</x:v>
      </x:c>
      <x:c r="K258" s="89" t="str"/>
    </x:row>
    <x:row r="259" ht="35" customHeight="1">
      <x:c r="A259" s="89" t="str">
        <x:v>CREATE-009</x:v>
      </x:c>
      <x:c r="B259" s="89" t="str">
        <x:v>Create Opportunity</x:v>
      </x:c>
      <x:c r="C259" s="89" t="str">
        <x:v>Passed</x:v>
      </x:c>
      <x:c r="D259" s="89" t="n">
        <x:v>3</x:v>
      </x:c>
      <x:c r="E259" s="89" t="str">
        <x:v>POST</x:v>
      </x:c>
      <x:c r="F259" s="89" t="str">
        <x:v>/api/v1/opportunities</x:v>
      </x:c>
      <x:c r="G259" s="90" t="str">
        <x:v>null</x:v>
      </x:c>
      <x:c r="H259" s="90" t="str">
        <x:v>{"title":"Approved API test draft","category":"knowledge"}</x:v>
      </x:c>
      <x:c r="I259" s="90" t="n">
        <x:v>422</x:v>
      </x:c>
      <x:c r="J259" s="90" t="str">
        <x:v>{"error":{"code":"VALIDATION_ERROR","message":"Request validation failed","details":[{"loc":["body","description"],"message":"Field required","type":"missing"}]}}</x:v>
      </x:c>
      <x:c r="K259" s="89" t="str"/>
    </x:row>
    <x:row r="260" ht="35" customHeight="1">
      <x:c r="A260" s="89" t="str">
        <x:v>CREATE-009</x:v>
      </x:c>
      <x:c r="B260" s="89" t="str">
        <x:v>Create Opportunity</x:v>
      </x:c>
      <x:c r="C260" s="89" t="str">
        <x:v>Passed</x:v>
      </x:c>
      <x:c r="D260" s="89" t="n">
        <x:v>4</x:v>
      </x:c>
      <x:c r="E260" s="89" t="str">
        <x:v>POST</x:v>
      </x:c>
      <x:c r="F260" s="89" t="str">
        <x:v>/api/v1/opportunities</x:v>
      </x:c>
      <x:c r="G260" s="90" t="str">
        <x:v>null</x:v>
      </x:c>
      <x:c r="H260" s="90" t="str">
        <x:v>{"title":"Approved API test draft","description":"A valid draft for QA validation."}</x:v>
      </x:c>
      <x:c r="I260" s="90" t="n">
        <x:v>422</x:v>
      </x:c>
      <x:c r="J260" s="90" t="str">
        <x:v>{"error":{"code":"VALIDATION_ERROR","message":"Request validation failed","details":[{"loc":["body","category"],"message":"Field required","type":"missing"}]}}</x:v>
      </x:c>
      <x:c r="K260" s="89" t="str">
        <x:v>Case duration 787 ms</x:v>
      </x:c>
    </x:row>
    <x:row r="261" ht="35" customHeight="1">
      <x:c r="A261" s="89" t="str">
        <x:v>CREATE-010</x:v>
      </x:c>
      <x:c r="B261" s="89" t="str">
        <x:v>Create Opportunity</x:v>
      </x:c>
      <x:c r="C261" s="89" t="str">
        <x:v>Passed</x:v>
      </x:c>
      <x:c r="D261" s="89" t="n">
        <x:v>1</x:v>
      </x:c>
      <x:c r="E261" s="89" t="str">
        <x:v>POST</x:v>
      </x:c>
      <x:c r="F261" s="89" t="str">
        <x:v>/api/v1/auth/login</x:v>
      </x:c>
      <x:c r="G261" s="90" t="str">
        <x:v>null</x:v>
      </x:c>
      <x:c r="H261" s="90" t="str">
        <x:v>{"email":"maple.bakery@grow8.dev","password":"&lt;redacted&gt;"}</x:v>
      </x:c>
      <x:c r="I261" s="90" t="n">
        <x:v>200</x:v>
      </x:c>
      <x:c r="J261" s="90" t="str">
        <x:v>{"access_token":"&lt;redacted&gt;","token_type":"bearer","expires_in":3600,"user":{"user_id":2,"email":"maple.bakery@grow8.dev","full_name":"Priya Nair","role":"creator"}}</x:v>
      </x:c>
      <x:c r="K261" s="89" t="str"/>
    </x:row>
    <x:row r="262" ht="35" customHeight="1">
      <x:c r="A262" s="89" t="str">
        <x:v>CREATE-010</x:v>
      </x:c>
      <x:c r="B262" s="89" t="str">
        <x:v>Create Opportunity</x:v>
      </x:c>
      <x:c r="C262" s="89" t="str">
        <x:v>Passed</x:v>
      </x:c>
      <x:c r="D262" s="89" t="n">
        <x:v>2</x:v>
      </x:c>
      <x:c r="E262" s="89" t="str">
        <x:v>POST</x:v>
      </x:c>
      <x:c r="F262" s="89" t="str">
        <x:v>/api/v1/opportunities</x:v>
      </x:c>
      <x:c r="G262" s="90" t="str">
        <x:v>null</x:v>
      </x:c>
      <x:c r="H262" s="90" t="str">
        <x:v>{"title":"ab","description":"A valid draft for QA validation.","category":"knowledge"}</x:v>
      </x:c>
      <x:c r="I262" s="90" t="n">
        <x:v>422</x:v>
      </x:c>
      <x:c r="J262" s="90" t="str">
        <x:v>{"error":{"code":"VALIDATION_ERROR","message":"Request validation failed","details":[{"loc":["body","title"],"message":"String should have at least 3 characters","type":"string_too_short"}]}}</x:v>
      </x:c>
      <x:c r="K262" s="89" t="str"/>
    </x:row>
    <x:row r="263" ht="35" customHeight="1">
      <x:c r="A263" s="89" t="str">
        <x:v>CREATE-010</x:v>
      </x:c>
      <x:c r="B263" s="89" t="str">
        <x:v>Create Opportunity</x:v>
      </x:c>
      <x:c r="C263" s="89" t="str">
        <x:v>Passed</x:v>
      </x:c>
      <x:c r="D263" s="89" t="n">
        <x:v>3</x:v>
      </x:c>
      <x:c r="E263" s="89" t="str">
        <x:v>POST</x:v>
      </x:c>
      <x:c r="F263" s="89" t="str">
        <x:v>/api/v1/opportunities</x:v>
      </x:c>
      <x:c r="G263" s="90" t="str">
        <x:v>null</x:v>
      </x:c>
      <x:c r="H263" s="90" t="str">
        <x:v>{"title":"xxxxxxxxxxxxxxxxxxxxxxxxxxxxxxxxxxxxxxxxxxxxxxxxxxxxxxxxxxxxxxxxxxxxxxxxxxxxxxxxxxxxxxxxxxxxxxxxxxxxxxxxxxxxxxxxxxxxxxxxxxxxxxxxxxxxxxxxxxxxxxxxxxxxxxxxxxxxxxxxxxxxxxxxxxxxxxxxxxxxxxxxxxxxxxxxxxxxxxxxx","description":"A valid draft for QA validation.","category":"knowledge"}</x:v>
      </x:c>
      <x:c r="I263" s="90" t="n">
        <x:v>422</x:v>
      </x:c>
      <x:c r="J263" s="90" t="str">
        <x:v>{"error":{"code":"VALIDATION_ERROR","message":"Request validation failed","details":[{"loc":["body","title"],"message":"String should have at most 200 characters","type":"string_too_long"}]}}</x:v>
      </x:c>
      <x:c r="K263" s="89" t="str"/>
    </x:row>
    <x:row r="264" ht="35" customHeight="1">
      <x:c r="A264" s="89" t="str">
        <x:v>CREATE-010</x:v>
      </x:c>
      <x:c r="B264" s="89" t="str">
        <x:v>Create Opportunity</x:v>
      </x:c>
      <x:c r="C264" s="89" t="str">
        <x:v>Passed</x:v>
      </x:c>
      <x:c r="D264" s="89" t="n">
        <x:v>4</x:v>
      </x:c>
      <x:c r="E264" s="89" t="str">
        <x:v>POST</x:v>
      </x:c>
      <x:c r="F264" s="89" t="str">
        <x:v>/api/v1/opportunities</x:v>
      </x:c>
      <x:c r="G264" s="90" t="str">
        <x:v>null</x:v>
      </x:c>
      <x:c r="H264" s="90" t="str">
        <x:v>{"title":"Approved API test draft","description":"","category":"knowledge"}</x:v>
      </x:c>
      <x:c r="I264" s="90" t="n">
        <x:v>422</x:v>
      </x:c>
      <x:c r="J264" s="90" t="str">
        <x:v>{"error":{"code":"VALIDATION_ERROR","message":"Request validation failed","details":[{"loc":["body","description"],"message":"String should have at least 1 character","type":"string_too_short"}]}}</x:v>
      </x:c>
      <x:c r="K264" s="89" t="str">
        <x:v>Case duration 756 ms</x:v>
      </x:c>
    </x:row>
    <x:row r="265" ht="35" customHeight="1">
      <x:c r="A265" s="89" t="str">
        <x:v>CREATE-011</x:v>
      </x:c>
      <x:c r="B265" s="89" t="str">
        <x:v>Create Opportunity</x:v>
      </x:c>
      <x:c r="C265" s="89" t="str">
        <x:v>Passed</x:v>
      </x:c>
      <x:c r="D265" s="89" t="n">
        <x:v>1</x:v>
      </x:c>
      <x:c r="E265" s="89" t="str">
        <x:v>POST</x:v>
      </x:c>
      <x:c r="F265" s="89" t="str">
        <x:v>/api/v1/auth/login</x:v>
      </x:c>
      <x:c r="G265" s="90" t="str">
        <x:v>null</x:v>
      </x:c>
      <x:c r="H265" s="90" t="str">
        <x:v>{"email":"maple.bakery@grow8.dev","password":"&lt;redacted&gt;"}</x:v>
      </x:c>
      <x:c r="I265" s="90" t="n">
        <x:v>200</x:v>
      </x:c>
      <x:c r="J265" s="90" t="str">
        <x:v>{"access_token":"&lt;redacted&gt;","token_type":"bearer","expires_in":3600,"user":{"user_id":2,"email":"maple.bakery@grow8.dev","full_name":"Priya Nair","role":"creator"}}</x:v>
      </x:c>
      <x:c r="K265" s="89" t="str"/>
    </x:row>
    <x:row r="266" ht="35" customHeight="1">
      <x:c r="A266" s="89" t="str">
        <x:v>CREATE-011</x:v>
      </x:c>
      <x:c r="B266" s="89" t="str">
        <x:v>Create Opportunity</x:v>
      </x:c>
      <x:c r="C266" s="89" t="str">
        <x:v>Passed</x:v>
      </x:c>
      <x:c r="D266" s="89" t="n">
        <x:v>2</x:v>
      </x:c>
      <x:c r="E266" s="89" t="str">
        <x:v>POST</x:v>
      </x:c>
      <x:c r="F266" s="89" t="str">
        <x:v>/api/v1/opportunities</x:v>
      </x:c>
      <x:c r="G266" s="90" t="str">
        <x:v>null</x:v>
      </x:c>
      <x:c r="H266" s="90" t="str">
        <x:v>{"title":"Approved API test draft","description":"A valid draft for QA validation.","category":"unknown-category"}</x:v>
      </x:c>
      <x:c r="I266" s="90" t="n">
        <x:v>422</x:v>
      </x:c>
      <x:c r="J266" s="90" t="str">
        <x:v>{"error":{"code":"UNKNOWN_CATEGORY","message":"Unknown category 'unknown-category'"}}</x:v>
      </x:c>
      <x:c r="K266" s="89" t="str">
        <x:v>Case duration 769 ms</x:v>
      </x:c>
    </x:row>
    <x:row r="267" ht="35" customHeight="1">
      <x:c r="A267" s="89" t="str">
        <x:v>CREATE-012</x:v>
      </x:c>
      <x:c r="B267" s="89" t="str">
        <x:v>Create Opportunity</x:v>
      </x:c>
      <x:c r="C267" s="89" t="str">
        <x:v>Passed</x:v>
      </x:c>
      <x:c r="D267" s="89" t="n">
        <x:v>1</x:v>
      </x:c>
      <x:c r="E267" s="89" t="str">
        <x:v>POST</x:v>
      </x:c>
      <x:c r="F267" s="89" t="str">
        <x:v>/api/v1/auth/login</x:v>
      </x:c>
      <x:c r="G267" s="90" t="str">
        <x:v>null</x:v>
      </x:c>
      <x:c r="H267" s="90" t="str">
        <x:v>{"email":"maple.bakery@grow8.dev","password":"&lt;redacted&gt;"}</x:v>
      </x:c>
      <x:c r="I267" s="90" t="n">
        <x:v>200</x:v>
      </x:c>
      <x:c r="J267" s="90" t="str">
        <x:v>{"access_token":"&lt;redacted&gt;","token_type":"bearer","expires_in":3600,"user":{"user_id":2,"email":"maple.bakery@grow8.dev","full_name":"Priya Nair","role":"creator"}}</x:v>
      </x:c>
      <x:c r="K267" s="89" t="str"/>
    </x:row>
    <x:row r="268" ht="35" customHeight="1">
      <x:c r="A268" s="89" t="str">
        <x:v>CREATE-012</x:v>
      </x:c>
      <x:c r="B268" s="89" t="str">
        <x:v>Create Opportunity</x:v>
      </x:c>
      <x:c r="C268" s="89" t="str">
        <x:v>Passed</x:v>
      </x:c>
      <x:c r="D268" s="89" t="n">
        <x:v>2</x:v>
      </x:c>
      <x:c r="E268" s="89" t="str">
        <x:v>POST</x:v>
      </x:c>
      <x:c r="F268" s="89" t="str">
        <x:v>/api/v1/opportunities</x:v>
      </x:c>
      <x:c r="G268" s="90" t="str">
        <x:v>null</x:v>
      </x:c>
      <x:c r="H268" s="90" t="str">
        <x:v>{"title":"Approved API test draft","description":"A valid draft for QA validation.","category":"knowledge","skills":["unknown-skill"]}</x:v>
      </x:c>
      <x:c r="I268" s="90" t="n">
        <x:v>422</x:v>
      </x:c>
      <x:c r="J268" s="90" t="str">
        <x:v>{"error":{"code":"UNKNOWN_SKILL","message":"Unknown skill code(s)","details":{"unknown_skills":["unknown-skill"]}}}</x:v>
      </x:c>
      <x:c r="K268" s="89" t="str">
        <x:v>Case duration 727 ms</x:v>
      </x:c>
    </x:row>
    <x:row r="269" ht="35" customHeight="1">
      <x:c r="A269" s="89" t="str">
        <x:v>CREATE-013</x:v>
      </x:c>
      <x:c r="B269" s="89" t="str">
        <x:v>Create Opportunity</x:v>
      </x:c>
      <x:c r="C269" s="89" t="str">
        <x:v>Passed</x:v>
      </x:c>
      <x:c r="D269" s="89" t="n">
        <x:v>1</x:v>
      </x:c>
      <x:c r="E269" s="89" t="str">
        <x:v>POST</x:v>
      </x:c>
      <x:c r="F269" s="89" t="str">
        <x:v>/api/v1/auth/login</x:v>
      </x:c>
      <x:c r="G269" s="90" t="str">
        <x:v>null</x:v>
      </x:c>
      <x:c r="H269" s="90" t="str">
        <x:v>{"email":"maple.bakery@grow8.dev","password":"&lt;redacted&gt;"}</x:v>
      </x:c>
      <x:c r="I269" s="90" t="n">
        <x:v>200</x:v>
      </x:c>
      <x:c r="J269" s="90" t="str">
        <x:v>{"access_token":"&lt;redacted&gt;","token_type":"bearer","expires_in":3600,"user":{"user_id":2,"email":"maple.bakery@grow8.dev","full_name":"Priya Nair","role":"creator"}}</x:v>
      </x:c>
      <x:c r="K269" s="89" t="str"/>
    </x:row>
    <x:row r="270" ht="35" customHeight="1">
      <x:c r="A270" s="89" t="str">
        <x:v>CREATE-013</x:v>
      </x:c>
      <x:c r="B270" s="89" t="str">
        <x:v>Create Opportunity</x:v>
      </x:c>
      <x:c r="C270" s="89" t="str">
        <x:v>Passed</x:v>
      </x:c>
      <x:c r="D270" s="89" t="n">
        <x:v>2</x:v>
      </x:c>
      <x:c r="E270" s="89" t="str">
        <x:v>POST</x:v>
      </x:c>
      <x:c r="F270" s="89" t="str">
        <x:v>/api/v1/opportunities</x:v>
      </x:c>
      <x:c r="G270" s="90" t="str">
        <x:v>null</x:v>
      </x:c>
      <x:c r="H270" s="90" t="str">
        <x:v>{"title":"Approved API test draft","description":"A valid draft for QA validation.","category":"knowledge","skills":["inventory","inventory","spreadsheets"]}</x:v>
      </x:c>
      <x:c r="I270" s="90" t="n">
        <x:v>201</x:v>
      </x:c>
      <x:c r="J270" s="90" t="str">
        <x:v>{"opportunity_id":20,"title":"Approved API test draft","description":"A valid draft for QA validation.","status":"draft","category":{"code":"knowledge","name":"Knowledge-based","description":"Digital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Bakery","organization_type":"small_business","city":"Calgary"},"skills":[{"code":"inventory","name":"Inventory management"},{"code":"spreadsheets","name":"Spreadsheets"}],"requirements":null,"location":null,"work_mode":null,"start_date":null,"end_date":null,"expected_hours":null,"compensation_type":null,"compensation_amount":null,"compensation_details":null,"applicant_limit":null,"application_deadline":null,"working_conditions":null,"safety_information":null,"accessibility_details":null,"published_at":null,"created_at":"2026-10-28T06:03:32Z","updated_at":"2026-10-28T06:03:32Z"}</x:v>
      </x:c>
      <x:c r="K270" s="89" t="str">
        <x:v>Case duration 736 ms</x:v>
      </x:c>
    </x:row>
    <x:row r="271" ht="35" customHeight="1">
      <x:c r="A271" s="89" t="str">
        <x:v>CREATE-014</x:v>
      </x:c>
      <x:c r="B271" s="89" t="str">
        <x:v>Create Opportunity</x:v>
      </x:c>
      <x:c r="C271" s="89" t="str">
        <x:v>Passed</x:v>
      </x:c>
      <x:c r="D271" s="89" t="n">
        <x:v>1</x:v>
      </x:c>
      <x:c r="E271" s="89" t="str">
        <x:v>POST</x:v>
      </x:c>
      <x:c r="F271" s="89" t="str">
        <x:v>/api/v1/auth/login</x:v>
      </x:c>
      <x:c r="G271" s="90" t="str">
        <x:v>null</x:v>
      </x:c>
      <x:c r="H271" s="90" t="str">
        <x:v>{"email":"maple.bakery@grow8.dev","password":"&lt;redacted&gt;"}</x:v>
      </x:c>
      <x:c r="I271" s="90" t="n">
        <x:v>200</x:v>
      </x:c>
      <x:c r="J271" s="90" t="str">
        <x:v>{"access_token":"&lt;redacted&gt;","token_type":"bearer","expires_in":3600,"user":{"user_id":2,"email":"maple.bakery@grow8.dev","full_name":"Priya Nair","role":"creator"}}</x:v>
      </x:c>
      <x:c r="K271" s="89" t="str"/>
    </x:row>
    <x:row r="272" ht="35" customHeight="1">
      <x:c r="A272" s="89" t="str">
        <x:v>CREATE-014</x:v>
      </x:c>
      <x:c r="B272" s="89" t="str">
        <x:v>Create Opportunity</x:v>
      </x:c>
      <x:c r="C272" s="89" t="str">
        <x:v>Passed</x:v>
      </x:c>
      <x:c r="D272" s="89" t="n">
        <x:v>2</x:v>
      </x:c>
      <x:c r="E272" s="89" t="str">
        <x:v>POST</x:v>
      </x:c>
      <x:c r="F272" s="89" t="str">
        <x:v>/api/v1/opportunities</x:v>
      </x:c>
      <x:c r="G272" s="90" t="str">
        <x:v>null</x:v>
      </x:c>
      <x:c r="H272" s="90" t="str">
        <x:v>{"title":"Approved API test draft","description":"A valid draft for QA validation.","category":"knowledge","skills":["inventory","inventory","inventory","inventory","inventory","inventory","inventory","inventory","inventory","inventory","inventory","inventory","inventory","inventory","inventory","inventory","inventory","inventory","inventory","inventory","inventory"]}</x:v>
      </x:c>
      <x:c r="I272" s="90" t="n">
        <x:v>422</x:v>
      </x:c>
      <x:c r="J272" s="90" t="str">
        <x:v>{"error":{"code":"VALIDATION_ERROR","message":"Request validation failed","details":[{"loc":["body","skills"],"message":"List should have at most 20 items after validation, not 21","type":"too_long"}]}}</x:v>
      </x:c>
      <x:c r="K272" s="89" t="str">
        <x:v>Case duration 630 ms</x:v>
      </x:c>
    </x:row>
    <x:row r="273" ht="35" customHeight="1">
      <x:c r="A273" s="89" t="str">
        <x:v>CREATE-015</x:v>
      </x:c>
      <x:c r="B273" s="89" t="str">
        <x:v>Create Opportunity</x:v>
      </x:c>
      <x:c r="C273" s="89" t="str">
        <x:v>Passed</x:v>
      </x:c>
      <x:c r="D273" s="89" t="n">
        <x:v>1</x:v>
      </x:c>
      <x:c r="E273" s="89" t="str">
        <x:v>POST</x:v>
      </x:c>
      <x:c r="F273" s="89" t="str">
        <x:v>/api/v1/auth/login</x:v>
      </x:c>
      <x:c r="G273" s="90" t="str">
        <x:v>null</x:v>
      </x:c>
      <x:c r="H273" s="90" t="str">
        <x:v>{"email":"maple.bakery@grow8.dev","password":"&lt;redacted&gt;"}</x:v>
      </x:c>
      <x:c r="I273" s="90" t="n">
        <x:v>200</x:v>
      </x:c>
      <x:c r="J273" s="90" t="str">
        <x:v>{"access_token":"&lt;redacted&gt;","token_type":"bearer","expires_in":3600,"user":{"user_id":2,"email":"maple.bakery@grow8.dev","full_name":"Priya Nair","role":"creator"}}</x:v>
      </x:c>
      <x:c r="K273" s="89" t="str"/>
    </x:row>
    <x:row r="274" ht="35" customHeight="1">
      <x:c r="A274" s="89" t="str">
        <x:v>CREATE-015</x:v>
      </x:c>
      <x:c r="B274" s="89" t="str">
        <x:v>Create Opportunity</x:v>
      </x:c>
      <x:c r="C274" s="89" t="str">
        <x:v>Passed</x:v>
      </x:c>
      <x:c r="D274" s="89" t="n">
        <x:v>2</x:v>
      </x:c>
      <x:c r="E274" s="89" t="str">
        <x:v>POST</x:v>
      </x:c>
      <x:c r="F274" s="89" t="str">
        <x:v>/api/v1/opportunities</x:v>
      </x:c>
      <x:c r="G274" s="90" t="str">
        <x:v>null</x:v>
      </x:c>
      <x:c r="H274" s="90" t="str">
        <x:v>{"title":"Approved API test draft","description":"A valid draft for QA validation.","category":"knowledge","start_date":"2027-05-05","end_date":"2027-05-04"}</x:v>
      </x:c>
      <x:c r="I274" s="90" t="n">
        <x:v>422</x:v>
      </x:c>
      <x:c r="J274" s="90" t="str">
        <x:v>{"error":{"code":"VALIDATION_ERROR","message":"Request validation failed","details":[{"loc":["body"],"message":"Value error, end_date must be on or after start_date","type":"value_error"}]}}</x:v>
      </x:c>
      <x:c r="K274" s="89" t="str">
        <x:v>Case duration 661 ms</x:v>
      </x:c>
    </x:row>
    <x:row r="275" ht="35" customHeight="1">
      <x:c r="A275" s="89" t="str">
        <x:v>CREATE-016</x:v>
      </x:c>
      <x:c r="B275" s="89" t="str">
        <x:v>Create Opportunity</x:v>
      </x:c>
      <x:c r="C275" s="89" t="str">
        <x:v>Passed</x:v>
      </x:c>
      <x:c r="D275" s="89" t="n">
        <x:v>1</x:v>
      </x:c>
      <x:c r="E275" s="89" t="str">
        <x:v>POST</x:v>
      </x:c>
      <x:c r="F275" s="89" t="str">
        <x:v>/api/v1/auth/login</x:v>
      </x:c>
      <x:c r="G275" s="90" t="str">
        <x:v>null</x:v>
      </x:c>
      <x:c r="H275" s="90" t="str">
        <x:v>{"email":"maple.bakery@grow8.dev","password":"&lt;redacted&gt;"}</x:v>
      </x:c>
      <x:c r="I275" s="90" t="n">
        <x:v>200</x:v>
      </x:c>
      <x:c r="J275" s="90" t="str">
        <x:v>{"access_token":"&lt;redacted&gt;","token_type":"bearer","expires_in":3600,"user":{"user_id":2,"email":"maple.bakery@grow8.dev","full_name":"Priya Nair","role":"creator"}}</x:v>
      </x:c>
      <x:c r="K275" s="89" t="str"/>
    </x:row>
    <x:row r="276" ht="35" customHeight="1">
      <x:c r="A276" s="89" t="str">
        <x:v>CREATE-016</x:v>
      </x:c>
      <x:c r="B276" s="89" t="str">
        <x:v>Create Opportunity</x:v>
      </x:c>
      <x:c r="C276" s="89" t="str">
        <x:v>Passed</x:v>
      </x:c>
      <x:c r="D276" s="89" t="n">
        <x:v>2</x:v>
      </x:c>
      <x:c r="E276" s="89" t="str">
        <x:v>POST</x:v>
      </x:c>
      <x:c r="F276" s="89" t="str">
        <x:v>/api/v1/opportunities</x:v>
      </x:c>
      <x:c r="G276" s="90" t="str">
        <x:v>null</x:v>
      </x:c>
      <x:c r="H276" s="90" t="str">
        <x:v>{"title":"Approved API test draft","description":"A valid draft for QA validation.","category":"knowledge","expected_hours":0}</x:v>
      </x:c>
      <x:c r="I276" s="90" t="n">
        <x:v>422</x:v>
      </x:c>
      <x:c r="J276" s="90" t="str">
        <x:v>{"error":{"code":"VALIDATION_ERROR","message":"Request validation failed","details":[{"loc":["body","expected_hours"],"message":"Input should be greater than 0","type":"greater_than"}]}}</x:v>
      </x:c>
      <x:c r="K276" s="89" t="str"/>
    </x:row>
    <x:row r="277" ht="35" customHeight="1">
      <x:c r="A277" s="89" t="str">
        <x:v>CREATE-016</x:v>
      </x:c>
      <x:c r="B277" s="89" t="str">
        <x:v>Create Opportunity</x:v>
      </x:c>
      <x:c r="C277" s="89" t="str">
        <x:v>Passed</x:v>
      </x:c>
      <x:c r="D277" s="89" t="n">
        <x:v>3</x:v>
      </x:c>
      <x:c r="E277" s="89" t="str">
        <x:v>POST</x:v>
      </x:c>
      <x:c r="F277" s="89" t="str">
        <x:v>/api/v1/opportunities</x:v>
      </x:c>
      <x:c r="G277" s="90" t="str">
        <x:v>null</x:v>
      </x:c>
      <x:c r="H277" s="90" t="str">
        <x:v>{"title":"Approved API test draft","description":"A valid draft for QA validation.","category":"knowledge","applicant_limit":0}</x:v>
      </x:c>
      <x:c r="I277" s="90" t="n">
        <x:v>422</x:v>
      </x:c>
      <x:c r="J277" s="90" t="str">
        <x:v>{"error":{"code":"VALIDATION_ERROR","message":"Request validation failed","details":[{"loc":["body","applicant_limit"],"message":"Input should be greater than or equal to 1","type":"greater_than_equal"}]}}</x:v>
      </x:c>
      <x:c r="K277" s="89" t="str"/>
    </x:row>
    <x:row r="278" ht="35" customHeight="1">
      <x:c r="A278" s="89" t="str">
        <x:v>CREATE-016</x:v>
      </x:c>
      <x:c r="B278" s="89" t="str">
        <x:v>Create Opportunity</x:v>
      </x:c>
      <x:c r="C278" s="89" t="str">
        <x:v>Passed</x:v>
      </x:c>
      <x:c r="D278" s="89" t="n">
        <x:v>4</x:v>
      </x:c>
      <x:c r="E278" s="89" t="str">
        <x:v>POST</x:v>
      </x:c>
      <x:c r="F278" s="89" t="str">
        <x:v>/api/v1/opportunities</x:v>
      </x:c>
      <x:c r="G278" s="90" t="str">
        <x:v>null</x:v>
      </x:c>
      <x:c r="H278" s="90" t="str">
        <x:v>{"title":"Approved API test draft","description":"A valid draft for QA validation.","category":"knowledge","compensation_amount":-1}</x:v>
      </x:c>
      <x:c r="I278" s="90" t="n">
        <x:v>422</x:v>
      </x:c>
      <x:c r="J278" s="90" t="str">
        <x:v>{"error":{"code":"VALIDATION_ERROR","message":"Request validation failed","details":[{"loc":["body","compensation_amount"],"message":"Input should be greater than or equal to 0","type":"greater_than_equal"}]}}</x:v>
      </x:c>
      <x:c r="K278" s="89" t="str">
        <x:v>Case duration 680 ms</x:v>
      </x:c>
    </x:row>
    <x:row r="279" ht="35" customHeight="1">
      <x:c r="A279" s="89" t="str">
        <x:v>CREATE-017</x:v>
      </x:c>
      <x:c r="B279" s="89" t="str">
        <x:v>Create Opportunity</x:v>
      </x:c>
      <x:c r="C279" s="89" t="str">
        <x:v>Passed</x:v>
      </x:c>
      <x:c r="D279" s="89" t="n">
        <x:v>1</x:v>
      </x:c>
      <x:c r="E279" s="89" t="str">
        <x:v>POST</x:v>
      </x:c>
      <x:c r="F279" s="89" t="str">
        <x:v>/api/v1/auth/login</x:v>
      </x:c>
      <x:c r="G279" s="90" t="str">
        <x:v>null</x:v>
      </x:c>
      <x:c r="H279" s="90" t="str">
        <x:v>{"email":"maple.bakery@grow8.dev","password":"&lt;redacted&gt;"}</x:v>
      </x:c>
      <x:c r="I279" s="90" t="n">
        <x:v>200</x:v>
      </x:c>
      <x:c r="J279" s="90" t="str">
        <x:v>{"access_token":"&lt;redacted&gt;","token_type":"bearer","expires_in":3600,"user":{"user_id":2,"email":"maple.bakery@grow8.dev","full_name":"Priya Nair","role":"creator"}}</x:v>
      </x:c>
      <x:c r="K279" s="89" t="str"/>
    </x:row>
    <x:row r="280" ht="35" customHeight="1">
      <x:c r="A280" s="89" t="str">
        <x:v>CREATE-017</x:v>
      </x:c>
      <x:c r="B280" s="89" t="str">
        <x:v>Create Opportunity</x:v>
      </x:c>
      <x:c r="C280" s="89" t="str">
        <x:v>Passed</x:v>
      </x:c>
      <x:c r="D280" s="89" t="n">
        <x:v>2</x:v>
      </x:c>
      <x:c r="E280" s="89" t="str">
        <x:v>POST</x:v>
      </x:c>
      <x:c r="F280" s="89" t="str">
        <x:v>/api/v1/opportunities</x:v>
      </x:c>
      <x:c r="G280" s="90" t="str">
        <x:v>null</x:v>
      </x:c>
      <x:c r="H280" s="90" t="str">
        <x:v>{"title":"Approved API test draft","description":"A valid draft for QA validation.","category":"knowledge","work_mode":"office-only"}</x:v>
      </x:c>
      <x:c r="I280" s="90" t="n">
        <x:v>422</x:v>
      </x:c>
      <x:c r="J280" s="90" t="str">
        <x:v>{"error":{"code":"VALIDATION_ERROR","message":"Request validation failed","details":[{"loc":["body","work_mode"],"message":"Input should be 'on_site', 'remote' or 'hybrid'","type":"enum"}]}}</x:v>
      </x:c>
      <x:c r="K280" s="89" t="str"/>
    </x:row>
    <x:row r="281" ht="35" customHeight="1">
      <x:c r="A281" s="89" t="str">
        <x:v>CREATE-017</x:v>
      </x:c>
      <x:c r="B281" s="89" t="str">
        <x:v>Create Opportunity</x:v>
      </x:c>
      <x:c r="C281" s="89" t="str">
        <x:v>Passed</x:v>
      </x:c>
      <x:c r="D281" s="89" t="n">
        <x:v>3</x:v>
      </x:c>
      <x:c r="E281" s="89" t="str">
        <x:v>POST</x:v>
      </x:c>
      <x:c r="F281" s="89" t="str">
        <x:v>/api/v1/opportunities</x:v>
      </x:c>
      <x:c r="G281" s="90" t="str">
        <x:v>null</x:v>
      </x:c>
      <x:c r="H281" s="90" t="str">
        <x:v>{"title":"Approved API test draft","description":"A valid draft for QA validation.","category":"knowledge","compensation_type":"cryptocurrency"}</x:v>
      </x:c>
      <x:c r="I281" s="90" t="n">
        <x:v>422</x:v>
      </x:c>
      <x:c r="J281" s="90" t="str">
        <x:v>{"error":{"code":"VALIDATION_ERROR","message":"Request validation failed","details":[{"loc":["body","compensation_type"],"message":"Input should be 'paid', 'stipend' or 'unpaid'","type":"enum"}]}}</x:v>
      </x:c>
      <x:c r="K281" s="89" t="str"/>
    </x:row>
    <x:row r="282" ht="35" customHeight="1">
      <x:c r="A282" s="89" t="str">
        <x:v>CREATE-017</x:v>
      </x:c>
      <x:c r="B282" s="89" t="str">
        <x:v>Create Opportunity</x:v>
      </x:c>
      <x:c r="C282" s="89" t="str">
        <x:v>Passed</x:v>
      </x:c>
      <x:c r="D282" s="89" t="n">
        <x:v>4</x:v>
      </x:c>
      <x:c r="E282" s="89" t="str">
        <x:v>POST</x:v>
      </x:c>
      <x:c r="F282" s="89" t="str">
        <x:v>/api/v1/opportunities</x:v>
      </x:c>
      <x:c r="G282" s="90" t="str">
        <x:v>null</x:v>
      </x:c>
      <x:c r="H282" s="90" t="str">
        <x:v>{"title":"Approved API test draft","description":"A valid draft for QA validation.","category":"knowledge","application_deadline":"2027-04-01T10:00:00"}</x:v>
      </x:c>
      <x:c r="I282" s="90" t="n">
        <x:v>422</x:v>
      </x:c>
      <x:c r="J282" s="90" t="str">
        <x:v>{"error":{"code":"VALIDATION_ERROR","message":"Request validation failed","details":[{"loc":["body","application_deadline"],"message":"Input should have timezone info","type":"timezone_aware"}]}}</x:v>
      </x:c>
      <x:c r="K282" s="89" t="str">
        <x:v>Case duration 638 ms</x:v>
      </x:c>
    </x:row>
    <x:row r="283" ht="35" customHeight="1">
      <x:c r="A283" s="89" t="str">
        <x:v>CREATE-018</x:v>
      </x:c>
      <x:c r="B283" s="89" t="str">
        <x:v>Create Opportunity</x:v>
      </x:c>
      <x:c r="C283" s="89" t="str">
        <x:v>Passed</x:v>
      </x:c>
      <x:c r="D283" s="89" t="n">
        <x:v>1</x:v>
      </x:c>
      <x:c r="E283" s="89" t="str">
        <x:v>POST</x:v>
      </x:c>
      <x:c r="F283" s="89" t="str">
        <x:v>/api/v1/auth/login</x:v>
      </x:c>
      <x:c r="G283" s="90" t="str">
        <x:v>null</x:v>
      </x:c>
      <x:c r="H283" s="90" t="str">
        <x:v>{"email":"maple.bakery@grow8.dev","password":"&lt;redacted&gt;"}</x:v>
      </x:c>
      <x:c r="I283" s="90" t="n">
        <x:v>200</x:v>
      </x:c>
      <x:c r="J283" s="90" t="str">
        <x:v>{"access_token":"&lt;redacted&gt;","token_type":"bearer","expires_in":3600,"user":{"user_id":2,"email":"maple.bakery@grow8.dev","full_name":"Priya Nair","role":"creator"}}</x:v>
      </x:c>
      <x:c r="K283" s="89" t="str"/>
    </x:row>
    <x:row r="284" ht="35" customHeight="1">
      <x:c r="A284" s="89" t="str">
        <x:v>CREATE-018</x:v>
      </x:c>
      <x:c r="B284" s="89" t="str">
        <x:v>Create Opportunity</x:v>
      </x:c>
      <x:c r="C284" s="89" t="str">
        <x:v>Passed</x:v>
      </x:c>
      <x:c r="D284" s="89" t="n">
        <x:v>2</x:v>
      </x:c>
      <x:c r="E284" s="89" t="str">
        <x:v>POST</x:v>
      </x:c>
      <x:c r="F284" s="89" t="str">
        <x:v>/api/v1/opportunities</x:v>
      </x:c>
      <x:c r="G284" s="90" t="str">
        <x:v>null</x:v>
      </x:c>
      <x:c r="H284" s="90" t="str">
        <x:v>{"title":"Approved API test draft","description":"A valid draft for QA validation.","category":"knowledge","organization_id":3}</x:v>
      </x:c>
      <x:c r="I284" s="90" t="n">
        <x:v>422</x:v>
      </x:c>
      <x:c r="J284" s="90" t="str">
        <x:v>{"error":{"code":"VALIDATION_ERROR","message":"Request validation failed","details":[{"loc":["body","organization_id"],"message":"Extra inputs are not permitted","type":"extra_forbidden"}]}}</x:v>
      </x:c>
      <x:c r="K284" s="89" t="str"/>
    </x:row>
    <x:row r="285" ht="35" customHeight="1">
      <x:c r="A285" s="89" t="str">
        <x:v>CREATE-018</x:v>
      </x:c>
      <x:c r="B285" s="89" t="str">
        <x:v>Create Opportunity</x:v>
      </x:c>
      <x:c r="C285" s="89" t="str">
        <x:v>Passed</x:v>
      </x:c>
      <x:c r="D285" s="89" t="n">
        <x:v>3</x:v>
      </x:c>
      <x:c r="E285" s="89" t="str">
        <x:v>POST</x:v>
      </x:c>
      <x:c r="F285" s="89" t="str">
        <x:v>/api/v1/opportunities</x:v>
      </x:c>
      <x:c r="G285" s="90" t="str">
        <x:v>null</x:v>
      </x:c>
      <x:c r="H285" s="90" t="str">
        <x:v>{"title":"Approved API test draft","description":"A valid draft for QA validation.","category":"knowledge","status":"open"}</x:v>
      </x:c>
      <x:c r="I285" s="90" t="n">
        <x:v>422</x:v>
      </x:c>
      <x:c r="J285" s="90" t="str">
        <x:v>{"error":{"code":"VALIDATION_ERROR","message":"Request validation failed","details":[{"loc":["body","status"],"message":"Extra inputs are not permitted","type":"extra_forbidden"}]}}</x:v>
      </x:c>
      <x:c r="K285" s="89" t="str"/>
    </x:row>
    <x:row r="286" ht="35" customHeight="1">
      <x:c r="A286" s="89" t="str">
        <x:v>CREATE-018</x:v>
      </x:c>
      <x:c r="B286" s="89" t="str">
        <x:v>Create Opportunity</x:v>
      </x:c>
      <x:c r="C286" s="89" t="str">
        <x:v>Passed</x:v>
      </x:c>
      <x:c r="D286" s="89" t="n">
        <x:v>4</x:v>
      </x:c>
      <x:c r="E286" s="89" t="str">
        <x:v>POST</x:v>
      </x:c>
      <x:c r="F286" s="89" t="str">
        <x:v>/api/v1/opportunities</x:v>
      </x:c>
      <x:c r="G286" s="90" t="str">
        <x:v>null</x:v>
      </x:c>
      <x:c r="H286" s="90" t="str">
        <x:v>{"title":"Approved API test draft","description":"A valid draft for QA validation.","category":"knowledge","published_at":"2027-01-01T00:00:00Z"}</x:v>
      </x:c>
      <x:c r="I286" s="90" t="n">
        <x:v>422</x:v>
      </x:c>
      <x:c r="J286" s="90" t="str">
        <x:v>{"error":{"code":"VALIDATION_ERROR","message":"Request validation failed","details":[{"loc":["body","published_at"],"message":"Extra inputs are not permitted","type":"extra_forbidden"}]}}</x:v>
      </x:c>
      <x:c r="K286" s="89" t="str">
        <x:v>Case duration 759 ms</x:v>
      </x:c>
    </x:row>
    <x:row r="287" ht="35" customHeight="1">
      <x:c r="A287" s="89" t="str">
        <x:v>PATCH-001</x:v>
      </x:c>
      <x:c r="B287" s="89" t="str">
        <x:v>Update Opportunity</x:v>
      </x:c>
      <x:c r="C287" s="89" t="str">
        <x:v>Passed</x:v>
      </x:c>
      <x:c r="D287" s="89" t="n">
        <x:v>1</x:v>
      </x:c>
      <x:c r="E287" s="89" t="str">
        <x:v>POST</x:v>
      </x:c>
      <x:c r="F287" s="89" t="str">
        <x:v>/api/v1/auth/login</x:v>
      </x:c>
      <x:c r="G287" s="90" t="str">
        <x:v>null</x:v>
      </x:c>
      <x:c r="H287" s="90" t="str">
        <x:v>{"email":"maple.bakery@grow8.dev","password":"&lt;redacted&gt;"}</x:v>
      </x:c>
      <x:c r="I287" s="90" t="n">
        <x:v>200</x:v>
      </x:c>
      <x:c r="J287" s="90" t="str">
        <x:v>{"access_token":"&lt;redacted&gt;","token_type":"bearer","expires_in":3600,"user":{"user_id":2,"email":"maple.bakery@grow8.dev","full_name":"Priya Nair","role":"creator"}}</x:v>
      </x:c>
      <x:c r="K287" s="89" t="str"/>
    </x:row>
    <x:row r="288" ht="35" customHeight="1">
      <x:c r="A288" s="89" t="str">
        <x:v>PATCH-001</x:v>
      </x:c>
      <x:c r="B288" s="89" t="str">
        <x:v>Update Opportunity</x:v>
      </x:c>
      <x:c r="C288" s="89" t="str">
        <x:v>Passed</x:v>
      </x:c>
      <x:c r="D288" s="89" t="n">
        <x:v>2</x:v>
      </x:c>
      <x:c r="E288" s="89" t="str">
        <x:v>POST</x:v>
      </x:c>
      <x:c r="F288" s="89" t="str">
        <x:v>/api/v1/opportunities</x:v>
      </x:c>
      <x:c r="G288" s="90" t="str">
        <x:v>null</x:v>
      </x:c>
      <x:c r="H288" s="90" t="str">
        <x:v>{"title":"Approved QA Inventory Project","description":"Record and organize donated inventory for the team.","category":"community","skills":["inventory","spreadsheets"],"requirements":"Attention to detail","location":"Calgary","work_mode":"remote","start_date":"2027-03-01","end_date":"2027-03-20","expected_hours":8,"compensation_type":"paid","compensation_amount":160,"compensation_details":"Fixed honorarium","applicant_limit":3,"application_deadline":"2027-02-15T23:59:00-07:00","working_conditions":"Flexible daytime hours","safety_information":"Remote work with normal computer precautions","accessibility_details":"Flexible scheduling and screen-reader-friendly records"}</x:v>
      </x:c>
      <x:c r="I288" s="90" t="n">
        <x:v>201</x:v>
      </x:c>
      <x:c r="J288" s="90" t="str">
        <x:v>{"opportunity_id":21,"title":"Approved QA Inventory Project","description":"Record and organize donated inventory for the team.","status":"draft","category":{"code":"community","name":"Community","description":"Physical tasks, community activities and event-based support."},"organization":{"organization_id":1,"name":"Maple Street Bakery","organization_type":"small_business","city":"Calgary"},"skills":[{"code":"inventory","name":"Inventory management"},{"code":"spreadsheets","name":"Spreadsheets"}],"requirements":"Attention to detail","location":"Calgary","work_mode":"remote","start_date":"2027-03-01","end_date":"2027-03-20","expected_hours":8.0,"compensation_type":"paid","compensation_amount":160.0,"compensation_details":"Fixed honorarium","applicant_limit":3,"application_deadline":"2027-02-16T06:59:00Z","working_conditions":"Flexible daytime hours","safety_information":"Remote work with normal computer precautions","accessibility_details":"Flexible scheduling and screen-reader-friendly records","published_at":null,"created_at":"2026-10-28T06:03:37Z","updated_at":"2026-10-28T06:03:37Z"}</x:v>
      </x:c>
      <x:c r="K288" s="89" t="str"/>
    </x:row>
    <x:row r="289" ht="35" customHeight="1">
      <x:c r="A289" s="89" t="str">
        <x:v>PATCH-001</x:v>
      </x:c>
      <x:c r="B289" s="89" t="str">
        <x:v>Update Opportunity</x:v>
      </x:c>
      <x:c r="C289" s="89" t="str">
        <x:v>Passed</x:v>
      </x:c>
      <x:c r="D289" s="89" t="n">
        <x:v>3</x:v>
      </x:c>
      <x:c r="E289" s="89" t="str">
        <x:v>GET</x:v>
      </x:c>
      <x:c r="F289" s="89" t="str">
        <x:v>/api/v1/opportunities/21</x:v>
      </x:c>
      <x:c r="G289" s="90" t="str">
        <x:v>null</x:v>
      </x:c>
      <x:c r="H289" s="90" t="str">
        <x:v>null</x:v>
      </x:c>
      <x:c r="I289" s="90" t="n">
        <x:v>200</x:v>
      </x:c>
      <x:c r="J289" s="90" t="str">
        <x:v>{"opportunity_id":21,"title":"Approved QA Inventory Project","description":"Record and organize donated inventory for the team.","status":"draft","category":{"code":"community","name":"Community","description":"Physical tasks, community activities and event-based support."},"organization":{"organization_id":1,"name":"Maple Street Bakery","organization_type":"small_business","city":"Calgary"},"skills":[{"code":"inventory","name":"Inventory management"},{"code":"spreadsheets","name":"Spreadsheets"}],"requirements":"Attention to detail","location":"Calgary","work_mode":"remote","start_date":"2027-03-01","end_date":"2027-03-20","expected_hours":8.0,"compensation_type":"paid","compensation_amount":160.0,"compensation_details":"Fixed honorarium","applicant_limit":3,"application_deadline":"2027-02-16T06:59:00Z","working_conditions":"Flexible daytime hours","safety_information":"Remote work with normal computer precautions","accessibility_details":"Flexible scheduling and screen-reader-friendly records","published_at":null,"created_at":"2026-10-28T06:03:37Z","updated_at":"2026-10-28T06:03:37Z"}</x:v>
      </x:c>
      <x:c r="K289" s="89" t="str"/>
    </x:row>
    <x:row r="290" ht="35" customHeight="1">
      <x:c r="A290" s="89" t="str">
        <x:v>PATCH-001</x:v>
      </x:c>
      <x:c r="B290" s="89" t="str">
        <x:v>Update Opportunity</x:v>
      </x:c>
      <x:c r="C290" s="89" t="str">
        <x:v>Passed</x:v>
      </x:c>
      <x:c r="D290" s="89" t="n">
        <x:v>4</x:v>
      </x:c>
      <x:c r="E290" s="89" t="str">
        <x:v>PATCH</x:v>
      </x:c>
      <x:c r="F290" s="89" t="str">
        <x:v>/api/v1/opportunities/21</x:v>
      </x:c>
      <x:c r="G290" s="90" t="str">
        <x:v>null</x:v>
      </x:c>
      <x:c r="H290" s="90" t="str">
        <x:v>{"title":"Approved QA Updated Title"}</x:v>
      </x:c>
      <x:c r="I290" s="90" t="n">
        <x:v>200</x:v>
      </x:c>
      <x:c r="J290" s="90" t="str">
        <x:v>{"opportunity_id":21,"title":"Approved QA Updated Title","description":"Record and organize donated inventory for the team.","status":"draft","category":{"code":"community","name":"Community","description":"Physical tasks, community activities and event-based support."},"organization":{"organization_id":1,"name":"Maple Street Bakery","organization_type":"small_business","city":"Calgary"},"skills":[{"code":"inventory","name":"Inventory management"},{"code":"spreadsheets","name":"Spreadsheets"}],"requirements":"Attention to detail","location":"Calgary","work_mode":"remote","start_date":"2027-03-01","end_date":"2027-03-20","expected_hours":8.0,"compensation_type":"paid","compensation_amount":160.0,"compensation_details":"Fixed honorarium","applicant_limit":3,"application_deadline":"2027-02-16T06:59:00Z","working_conditions":"Flexible daytime hours","safety_information":"Remote work with normal computer precautions","accessibility_details":"Flexible scheduling and screen-reader-friendly records","published_at":null,"created_at":"2026-10-28T06:03:37Z","updated_at":"2026-10-28T06:03:37Z"}</x:v>
      </x:c>
      <x:c r="K290" s="89" t="str"/>
    </x:row>
    <x:row r="291" ht="35" customHeight="1">
      <x:c r="A291" s="89" t="str">
        <x:v>PATCH-001</x:v>
      </x:c>
      <x:c r="B291" s="89" t="str">
        <x:v>Update Opportunity</x:v>
      </x:c>
      <x:c r="C291" s="89" t="str">
        <x:v>Passed</x:v>
      </x:c>
      <x:c r="D291" s="89" t="n">
        <x:v>5</x:v>
      </x:c>
      <x:c r="E291" s="89" t="str">
        <x:v>GET</x:v>
      </x:c>
      <x:c r="F291" s="89" t="str">
        <x:v>/api/v1/opportunities/21</x:v>
      </x:c>
      <x:c r="G291" s="90" t="str">
        <x:v>null</x:v>
      </x:c>
      <x:c r="H291" s="90" t="str">
        <x:v>null</x:v>
      </x:c>
      <x:c r="I291" s="90" t="n">
        <x:v>200</x:v>
      </x:c>
      <x:c r="J291" s="90" t="str">
        <x:v>{"opportunity_id":21,"title":"Approved QA Updated Title","description":"Record and organize donated inventory for the team.","status":"draft","category":{"code":"community","name":"Community","description":"Physical tasks, community activities and event-based support."},"organization":{"organization_id":1,"name":"Maple Street Bakery","organization_type":"small_business","city":"Calgary"},"skills":[{"code":"inventory","name":"Inventory management"},{"code":"spreadsheets","name":"Spreadsheets"}],"requirements":"Attention to detail","location":"Calgary","work_mode":"remote","start_date":"2027-03-01","end_date":"2027-03-20","expected_hours":8.0,"compensation_type":"paid","compensation_amount":160.0,"compensation_details":"Fixed honorarium","applicant_limit":3,"application_deadline":"2027-02-16T06:59:00Z","working_conditions":"Flexible daytime hours","safety_information":"Remote work with normal computer precautions","accessibility_details":"Flexible scheduling and screen-reader-friendly records","published_at":null,"created_at":"2026-10-28T06:03:37Z","updated_at":"2026-10-28T06:03:37Z"}</x:v>
      </x:c>
      <x:c r="K291" s="89" t="str">
        <x:v>Case duration 995 ms</x:v>
      </x:c>
    </x:row>
    <x:row r="292" ht="35" customHeight="1">
      <x:c r="A292" s="89" t="str">
        <x:v>PATCH-002</x:v>
      </x:c>
      <x:c r="B292" s="89" t="str">
        <x:v>Update Opportunity</x:v>
      </x:c>
      <x:c r="C292" s="89" t="str">
        <x:v>Passed</x:v>
      </x:c>
      <x:c r="D292" s="89" t="n">
        <x:v>1</x:v>
      </x:c>
      <x:c r="E292" s="89" t="str">
        <x:v>POST</x:v>
      </x:c>
      <x:c r="F292" s="89" t="str">
        <x:v>/api/v1/auth/login</x:v>
      </x:c>
      <x:c r="G292" s="90" t="str">
        <x:v>null</x:v>
      </x:c>
      <x:c r="H292" s="90" t="str">
        <x:v>{"email":"maple.bakery@grow8.dev","password":"&lt;redacted&gt;"}</x:v>
      </x:c>
      <x:c r="I292" s="90" t="n">
        <x:v>200</x:v>
      </x:c>
      <x:c r="J292" s="90" t="str">
        <x:v>{"access_token":"&lt;redacted&gt;","token_type":"bearer","expires_in":3600,"user":{"user_id":2,"email":"maple.bakery@grow8.dev","full_name":"Priya Nair","role":"creator"}}</x:v>
      </x:c>
      <x:c r="K292" s="89" t="str"/>
    </x:row>
    <x:row r="293" ht="35" customHeight="1">
      <x:c r="A293" s="89" t="str">
        <x:v>PATCH-002</x:v>
      </x:c>
      <x:c r="B293" s="89" t="str">
        <x:v>Update Opportunity</x:v>
      </x:c>
      <x:c r="C293" s="89" t="str">
        <x:v>Passed</x:v>
      </x:c>
      <x:c r="D293" s="89" t="n">
        <x:v>2</x:v>
      </x:c>
      <x:c r="E293" s="89" t="str">
        <x:v>POST</x:v>
      </x:c>
      <x:c r="F293" s="89" t="str">
        <x:v>/api/v1/opportunities</x:v>
      </x:c>
      <x:c r="G293" s="90" t="str">
        <x:v>null</x:v>
      </x:c>
      <x:c r="H293" s="90" t="str">
        <x:v>{"title":"Approved QA Inventory Project","description":"Record and organize donated inventory for the team.","category":"community","skills":["inventory","spreadsheets"],"requirements":"Attention to detail","location":"Calgary","work_mode":"remote","start_date":"2027-03-01","end_date":"2027-03-20","expected_hours":8,"compensation_type":"paid","compensation_amount":160,"compensation_details":"Fixed honorarium","applicant_limit":3,"application_deadline":"2027-02-15T23:59:00-07:00","working_conditions":"Flexible daytime hours","safety_information":"Remote work with normal computer precautions","accessibility_details":"Flexible scheduling and screen-reader-friendly records"}</x:v>
      </x:c>
      <x:c r="I293" s="90" t="n">
        <x:v>201</x:v>
      </x:c>
      <x:c r="J293" s="90" t="str">
        <x:v>{"opportunity_id":22,"title":"Approved QA Inventory Project","description":"Record and organize donated inventory for the team.","status":"draft","category":{"code":"community","name":"Community","description":"Physical tasks, community activities and event-based support."},"organization":{"organization_id":1,"name":"Maple Street Bakery","organization_type":"small_business","city":"Calgary"},"skills":[{"code":"inventory","name":"Inventory management"},{"code":"spreadsheets","name":"Spreadsheets"}],"requirements":"Attention to detail","location":"Calgary","work_mode":"remote","start_date":"2027-03-01","end_date":"2027-03-20","expected_hours":8.0,"compensation_type":"paid","compensation_amount":160.0,"compensation_details":"Fixed honorarium","applicant_limit":3,"application_deadline":"2027-02-16T06:59:00Z","working_conditions":"Flexible daytime hours","safety_information":"Remote work with normal computer precautions","accessibility_details":"Flexible scheduling and screen-reader-friendly records","published_at":null,"created_at":"2026-10-28T06:03:38Z","updated_at":"2026-10-28T06:03:38Z"}</x:v>
      </x:c>
      <x:c r="K293" s="89" t="str"/>
    </x:row>
    <x:row r="294" ht="35" customHeight="1">
      <x:c r="A294" s="89" t="str">
        <x:v>PATCH-002</x:v>
      </x:c>
      <x:c r="B294" s="89" t="str">
        <x:v>Update Opportunity</x:v>
      </x:c>
      <x:c r="C294" s="89" t="str">
        <x:v>Passed</x:v>
      </x:c>
      <x:c r="D294" s="89" t="n">
        <x:v>3</x:v>
      </x:c>
      <x:c r="E294" s="89" t="str">
        <x:v>PATCH</x:v>
      </x:c>
      <x:c r="F294" s="89" t="str">
        <x:v>/api/v1/opportunities/22</x:v>
      </x:c>
      <x:c r="G294" s="90" t="str">
        <x:v>null</x:v>
      </x:c>
      <x:c r="H294" s="90" t="str">
        <x:v>{"description":"Updated description by QA","expected_hours":14,"work_mode":"hybrid"}</x:v>
      </x:c>
      <x:c r="I294" s="90" t="n">
        <x:v>200</x:v>
      </x:c>
      <x:c r="J294" s="90" t="str">
        <x:v>{"opportunity_id":22,"title":"Approved QA Inventory Project","description":"Updated description by QA","status":"draft","category":{"code":"community","name":"Community","description":"Physical tasks, community activities and event-based support."},"organization":{"organization_id":1,"name":"Maple Street Bakery","organization_type":"small_business","city":"Calgary"},"skills":[{"code":"inventory","name":"Inventory management"},{"code":"spreadsheets","name":"Spreadsheets"}],"requirements":"Attention to detail","location":"Calgary","work_mode":"hybrid","start_date":"2027-03-01","end_date":"2027-03-20","expected_hours":14.0,"compensation_type":"paid","compensation_amount":160.0,"compensation_details":"Fixed honorarium","applicant_limit":3,"application_deadline":"2027-02-16T06:59:00Z","working_conditions":"Flexible daytime hours","safety_information":"Remote work with normal computer precautions","accessibility_details":"Flexible scheduling and screen-reader-friendly records","published_at":null,"created_at":"2026-10-28T06:03:38Z","updated_at":"2026-10-28T06:03:38Z"}</x:v>
      </x:c>
      <x:c r="K294" s="89" t="str"/>
    </x:row>
    <x:row r="295" ht="35" customHeight="1">
      <x:c r="A295" s="89" t="str">
        <x:v>PATCH-002</x:v>
      </x:c>
      <x:c r="B295" s="89" t="str">
        <x:v>Update Opportunity</x:v>
      </x:c>
      <x:c r="C295" s="89" t="str">
        <x:v>Passed</x:v>
      </x:c>
      <x:c r="D295" s="89" t="n">
        <x:v>4</x:v>
      </x:c>
      <x:c r="E295" s="89" t="str">
        <x:v>GET</x:v>
      </x:c>
      <x:c r="F295" s="89" t="str">
        <x:v>/api/v1/opportunities/22</x:v>
      </x:c>
      <x:c r="G295" s="90" t="str">
        <x:v>null</x:v>
      </x:c>
      <x:c r="H295" s="90" t="str">
        <x:v>null</x:v>
      </x:c>
      <x:c r="I295" s="90" t="n">
        <x:v>200</x:v>
      </x:c>
      <x:c r="J295" s="90" t="str">
        <x:v>{"opportunity_id":22,"title":"Approved QA Inventory Project","description":"Updated description by QA","status":"draft","category":{"code":"community","name":"Community","description":"Physical tasks, community activities and event-based support."},"organization":{"organization_id":1,"name":"Maple Street Bakery","organization_type":"small_business","city":"Calgary"},"skills":[{"code":"inventory","name":"Inventory management"},{"code":"spreadsheets","name":"Spreadsheets"}],"requirements":"Attention to detail","location":"Calgary","work_mode":"hybrid","start_date":"2027-03-01","end_date":"2027-03-20","expected_hours":14.0,"compensation_type":"paid","compensation_amount":160.0,"compensation_details":"Fixed honorarium","applicant_limit":3,"application_deadline":"2027-02-16T06:59:00Z","working_conditions":"Flexible daytime hours","safety_information":"Remote work with normal computer precautions","accessibility_details":"Flexible scheduling and screen-reader-friendly records","published_at":null,"created_at":"2026-10-28T06:03:38Z","updated_at":"2026-10-28T06:03:38Z"}</x:v>
      </x:c>
      <x:c r="K295" s="89" t="str">
        <x:v>Case duration 779 ms</x:v>
      </x:c>
    </x:row>
    <x:row r="296" ht="35" customHeight="1">
      <x:c r="A296" s="89" t="str">
        <x:v>PATCH-003</x:v>
      </x:c>
      <x:c r="B296" s="89" t="str">
        <x:v>Update Opportunity</x:v>
      </x:c>
      <x:c r="C296" s="89" t="str">
        <x:v>Passed</x:v>
      </x:c>
      <x:c r="D296" s="89" t="n">
        <x:v>1</x:v>
      </x:c>
      <x:c r="E296" s="89" t="str">
        <x:v>POST</x:v>
      </x:c>
      <x:c r="F296" s="89" t="str">
        <x:v>/api/v1/auth/login</x:v>
      </x:c>
      <x:c r="G296" s="90" t="str">
        <x:v>null</x:v>
      </x:c>
      <x:c r="H296" s="90" t="str">
        <x:v>{"email":"maple.bakery@grow8.dev","password":"&lt;redacted&gt;"}</x:v>
      </x:c>
      <x:c r="I296" s="90" t="n">
        <x:v>200</x:v>
      </x:c>
      <x:c r="J296" s="90" t="str">
        <x:v>{"access_token":"&lt;redacted&gt;","token_type":"bearer","expires_in":3600,"user":{"user_id":2,"email":"maple.bakery@grow8.dev","full_name":"Priya Nair","role":"creator"}}</x:v>
      </x:c>
      <x:c r="K296" s="89" t="str"/>
    </x:row>
    <x:row r="297" ht="35" customHeight="1">
      <x:c r="A297" s="89" t="str">
        <x:v>PATCH-003</x:v>
      </x:c>
      <x:c r="B297" s="89" t="str">
        <x:v>Update Opportunity</x:v>
      </x:c>
      <x:c r="C297" s="89" t="str">
        <x:v>Passed</x:v>
      </x:c>
      <x:c r="D297" s="89" t="n">
        <x:v>2</x:v>
      </x:c>
      <x:c r="E297" s="89" t="str">
        <x:v>POST</x:v>
      </x:c>
      <x:c r="F297" s="89" t="str">
        <x:v>/api/v1/opportunities</x:v>
      </x:c>
      <x:c r="G297" s="90" t="str">
        <x:v>null</x:v>
      </x:c>
      <x:c r="H297" s="90" t="str">
        <x:v>{"title":"Approved QA Inventory Project","description":"Record and organize donated inventory for the team.","category":"community","skills":["inventory","spreadsheets"],"requirements":"Attention to detail","location":"Calgary","work_mode":"remote","start_date":"2027-03-01","end_date":"2027-03-20","expected_hours":8,"compensation_type":"paid","compensation_amount":160,"compensation_details":"Fixed honorarium","applicant_limit":3,"application_deadline":"2027-02-15T23:59:00-07:00","working_conditions":"Flexible daytime hours","safety_information":"Remote work with normal computer precautions","accessibility_details":"Flexible scheduling and screen-reader-friendly records"}</x:v>
      </x:c>
      <x:c r="I297" s="90" t="n">
        <x:v>201</x:v>
      </x:c>
      <x:c r="J297" s="90" t="str">
        <x:v>{"opportunity_id":23,"title":"Approved QA Inventory Project","description":"Record and organize donated inventory for the team.","status":"draft","category":{"code":"community","name":"Community","description":"Physical tasks, community activities and event-based support."},"organization":{"organization_id":1,"name":"Maple Street Bakery","organization_type":"small_business","city":"Calgary"},"skills":[{"code":"inventory","name":"Inventory management"},{"code":"spreadsheets","name":"Spreadsheets"}],"requirements":"Attention to detail","location":"Calgary","work_mode":"remote","start_date":"2027-03-01","end_date":"2027-03-20","expected_hours":8.0,"compensation_type":"paid","compensation_amount":160.0,"compensation_details":"Fixed honorarium","applicant_limit":3,"application_deadline":"2027-02-16T06:59:00Z","working_conditions":"Flexible daytime hours","safety_information":"Remote work with normal computer precautions","accessibility_details":"Flexible scheduling and screen-reader-friendly records","published_at":null,"created_at":"2026-10-28T06:03:38Z","updated_at":"2026-10-28T06:03:38Z"}</x:v>
      </x:c>
      <x:c r="K297" s="89" t="str"/>
    </x:row>
    <x:row r="298" ht="35" customHeight="1">
      <x:c r="A298" s="89" t="str">
        <x:v>PATCH-003</x:v>
      </x:c>
      <x:c r="B298" s="89" t="str">
        <x:v>Update Opportunity</x:v>
      </x:c>
      <x:c r="C298" s="89" t="str">
        <x:v>Passed</x:v>
      </x:c>
      <x:c r="D298" s="89" t="n">
        <x:v>3</x:v>
      </x:c>
      <x:c r="E298" s="89" t="str">
        <x:v>PATCH</x:v>
      </x:c>
      <x:c r="F298" s="89" t="str">
        <x:v>/api/v1/opportunities/23</x:v>
      </x:c>
      <x:c r="G298" s="90" t="str">
        <x:v>null</x:v>
      </x:c>
      <x:c r="H298" s="90" t="str">
        <x:v>{"category":"knowledge","skills":["data-entry","spreadsheets"]}</x:v>
      </x:c>
      <x:c r="I298" s="90" t="n">
        <x:v>200</x:v>
      </x:c>
      <x:c r="J298" s="90" t="str">
        <x:v>{"opportunity_id":23,"title":"Approved QA Inventory Project","description":"Record and organize donated inventory for the team.","status":"draft","category":{"code":"knowledge","name":"Knowledge-based","description":"Digital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Bakery","organization_type":"small_business","city":"Calgary"},"skills":[{"code":"data-entry","name":"Data entry"},{"code":"spreadsheets","name":"Spreadsheets"}],"requirements":"Attention to detail","location":"Calgary","work_mode":"remote","start_date":"2027-03-01","end_date":"2027-03-20","expected_hours":8.0,"compensation_type":"paid","compensation_amount":160.0,"compensation_details":"Fixed honorarium","applicant_limit":3,"application_deadline":"2027-02-16T06:59:00Z","working_conditions":"Flexible daytime hours","safety_information":"Remote work with normal computer precautions","accessibility_details":"Flexible scheduling and screen-reader-friendly records","published_at":null,"created_at":"2026-10-28T06:03:38Z","updated_at":"2026-10-28T06:03:39Z"}</x:v>
      </x:c>
      <x:c r="K298" s="89" t="str">
        <x:v>Case duration 821 ms</x:v>
      </x:c>
    </x:row>
    <x:row r="299" ht="35" customHeight="1">
      <x:c r="A299" s="89" t="str">
        <x:v>PATCH-004</x:v>
      </x:c>
      <x:c r="B299" s="89" t="str">
        <x:v>Update Opportunity</x:v>
      </x:c>
      <x:c r="C299" s="89" t="str">
        <x:v>Passed</x:v>
      </x:c>
      <x:c r="D299" s="89" t="n">
        <x:v>1</x:v>
      </x:c>
      <x:c r="E299" s="89" t="str">
        <x:v>POST</x:v>
      </x:c>
      <x:c r="F299" s="89" t="str">
        <x:v>/api/v1/auth/login</x:v>
      </x:c>
      <x:c r="G299" s="90" t="str">
        <x:v>null</x:v>
      </x:c>
      <x:c r="H299" s="90" t="str">
        <x:v>{"email":"maple.bakery@grow8.dev","password":"&lt;redacted&gt;"}</x:v>
      </x:c>
      <x:c r="I299" s="90" t="n">
        <x:v>200</x:v>
      </x:c>
      <x:c r="J299" s="90" t="str">
        <x:v>{"access_token":"&lt;redacted&gt;","token_type":"bearer","expires_in":3600,"user":{"user_id":2,"email":"maple.bakery@grow8.dev","full_name":"Priya Nair","role":"creator"}}</x:v>
      </x:c>
      <x:c r="K299" s="89" t="str"/>
    </x:row>
    <x:row r="300" ht="35" customHeight="1">
      <x:c r="A300" s="89" t="str">
        <x:v>PATCH-004</x:v>
      </x:c>
      <x:c r="B300" s="89" t="str">
        <x:v>Update Opportunity</x:v>
      </x:c>
      <x:c r="C300" s="89" t="str">
        <x:v>Passed</x:v>
      </x:c>
      <x:c r="D300" s="89" t="n">
        <x:v>2</x:v>
      </x:c>
      <x:c r="E300" s="89" t="str">
        <x:v>POST</x:v>
      </x:c>
      <x:c r="F300" s="89" t="str">
        <x:v>/api/v1/opportunities</x:v>
      </x:c>
      <x:c r="G300" s="90" t="str">
        <x:v>null</x:v>
      </x:c>
      <x:c r="H300" s="90" t="str">
        <x:v>{"title":"Approved QA Inventory Project","description":"Record and organize donated inventory for the team.","category":"community","skills":["inventory","spreadsheets"],"requirements":"Attention to detail","location":"Calgary","work_mode":"remote","start_date":"2027-03-01","end_date":"2027-03-20","expected_hours":8,"compensation_type":"paid","compensation_amount":160,"compensation_details":"Fixed honorarium","applicant_limit":3,"application_deadline":"2027-02-15T23:59:00-07:00","working_conditions":"Flexible daytime hours","safety_information":"Remote work with normal computer precautions","accessibility_details":"Flexible scheduling and screen-reader-friendly records"}</x:v>
      </x:c>
      <x:c r="I300" s="90" t="n">
        <x:v>201</x:v>
      </x:c>
      <x:c r="J300" s="90" t="str">
        <x:v>{"opportunity_id":24,"title":"Approved QA Inventory Project","description":"Record and organize donated inventory for the team.","status":"draft","category":{"code":"community","name":"Community","description":"Physical tasks, community activities and event-based support."},"organization":{"organization_id":1,"name":"Maple Street Bakery","organization_type":"small_business","city":"Calgary"},"skills":[{"code":"inventory","name":"Inventory management"},{"code":"spreadsheets","name":"Spreadsheets"}],"requirements":"Attention to detail","location":"Calgary","work_mode":"remote","start_date":"2027-03-01","end_date":"2027-03-20","expected_hours":8.0,"compensation_type":"paid","compensation_amount":160.0,"compensation_details":"Fixed honorarium","applicant_limit":3,"application_deadline":"2027-02-16T06:59:00Z","working_conditions":"Flexible daytime hours","safety_information":"Remote work with normal computer precautions","accessibility_details":"Flexible scheduling and screen-reader-friendly records","published_at":null,"created_at":"2026-10-28T06:03:39Z","updated_at":"2026-10-28T06:03:39Z"}</x:v>
      </x:c>
      <x:c r="K300" s="89" t="str"/>
    </x:row>
    <x:row r="301" ht="35" customHeight="1">
      <x:c r="A301" s="89" t="str">
        <x:v>PATCH-004</x:v>
      </x:c>
      <x:c r="B301" s="89" t="str">
        <x:v>Update Opportunity</x:v>
      </x:c>
      <x:c r="C301" s="89" t="str">
        <x:v>Passed</x:v>
      </x:c>
      <x:c r="D301" s="89" t="n">
        <x:v>3</x:v>
      </x:c>
      <x:c r="E301" s="89" t="str">
        <x:v>PATCH</x:v>
      </x:c>
      <x:c r="F301" s="89" t="str">
        <x:v>/api/v1/opportunities/24</x:v>
      </x:c>
      <x:c r="G301" s="90" t="str">
        <x:v>null</x:v>
      </x:c>
      <x:c r="H301" s="90" t="str">
        <x:v>{"title":"Unauthorized edit"}</x:v>
      </x:c>
      <x:c r="I301" s="90" t="n">
        <x:v>401</x:v>
      </x:c>
      <x:c r="J301" s="90" t="str">
        <x:v>{"error":{"code":"AUTH_REQUIRED","message":"Authentication required"}}</x:v>
      </x:c>
      <x:c r="K301" s="89" t="str">
        <x:v>Case duration 787 ms</x:v>
      </x:c>
    </x:row>
    <x:row r="302" ht="35" customHeight="1">
      <x:c r="A302" s="89" t="str">
        <x:v>PATCH-005</x:v>
      </x:c>
      <x:c r="B302" s="89" t="str">
        <x:v>Update Opportunity</x:v>
      </x:c>
      <x:c r="C302" s="89" t="str">
        <x:v>Passed</x:v>
      </x:c>
      <x:c r="D302" s="89" t="n">
        <x:v>1</x:v>
      </x:c>
      <x:c r="E302" s="89" t="str">
        <x:v>POST</x:v>
      </x:c>
      <x:c r="F302" s="89" t="str">
        <x:v>/api/v1/auth/login</x:v>
      </x:c>
      <x:c r="G302" s="90" t="str">
        <x:v>null</x:v>
      </x:c>
      <x:c r="H302" s="90" t="str">
        <x:v>{"email":"maple.bakery@grow8.dev","password":"&lt;redacted&gt;"}</x:v>
      </x:c>
      <x:c r="I302" s="90" t="n">
        <x:v>200</x:v>
      </x:c>
      <x:c r="J302" s="90" t="str">
        <x:v>{"access_token":"&lt;redacted&gt;","token_type":"bearer","expires_in":3600,"user":{"user_id":2,"email":"maple.bakery@grow8.dev","full_name":"Priya Nair","role":"creator"}}</x:v>
      </x:c>
      <x:c r="K302" s="89" t="str"/>
    </x:row>
    <x:row r="303" ht="35" customHeight="1">
      <x:c r="A303" s="89" t="str">
        <x:v>PATCH-005</x:v>
      </x:c>
      <x:c r="B303" s="89" t="str">
        <x:v>Update Opportunity</x:v>
      </x:c>
      <x:c r="C303" s="89" t="str">
        <x:v>Passed</x:v>
      </x:c>
      <x:c r="D303" s="89" t="n">
        <x:v>2</x:v>
      </x:c>
      <x:c r="E303" s="89" t="str">
        <x:v>POST</x:v>
      </x:c>
      <x:c r="F303" s="89" t="str">
        <x:v>/api/v1/opportunities</x:v>
      </x:c>
      <x:c r="G303" s="90" t="str">
        <x:v>null</x:v>
      </x:c>
      <x:c r="H303" s="90" t="str">
        <x:v>{"title":"Approved QA Inventory Project","description":"Record and organize donated inventory for the team.","category":"community","skills":["inventory","spreadsheets"],"requirements":"Attention to detail","location":"Calgary","work_mode":"remote","start_date":"2027-03-01","end_date":"2027-03-20","expected_hours":8,"compensation_type":"paid","compensation_amount":160,"compensation_details":"Fixed honorarium","applicant_limit":3,"application_deadline":"2027-02-15T23:59:00-07:00","working_conditions":"Flexible daytime hours","safety_information":"Remote work with normal computer precautions","accessibility_details":"Flexible scheduling and screen-reader-friendly records"}</x:v>
      </x:c>
      <x:c r="I303" s="90" t="n">
        <x:v>201</x:v>
      </x:c>
      <x:c r="J303" s="90" t="str">
        <x:v>{"opportunity_id":25,"title":"Approved QA Inventory Project","description":"Record and organize donated inventory for the team.","status":"draft","category":{"code":"community","name":"Community","description":"Physical tasks, community activities and event-based support."},"organization":{"organization_id":1,"name":"Maple Street Bakery","organization_type":"small_business","city":"Calgary"},"skills":[{"code":"inventory","name":"Inventory management"},{"code":"spreadsheets","name":"Spreadsheets"}],"requirements":"Attention to detail","location":"Calgary","work_mode":"remote","start_date":"2027-03-01","end_date":"2027-03-20","expected_hours":8.0,"compensation_type":"paid","compensation_amount":160.0,"compensation_details":"Fixed honorarium","applicant_limit":3,"application_deadline":"2027-02-16T06:59:00Z","working_conditions":"Flexible daytime hours","safety_information":"Remote work with normal computer precautions","accessibility_details":"Flexible scheduling and screen-reader-friendly records","published_at":null,"created_at":"2026-10-28T06:03:40Z","updated_at":"2026-10-28T06:03:40Z"}</x:v>
      </x:c>
      <x:c r="K303" s="89" t="str"/>
    </x:row>
    <x:row r="304" ht="35" customHeight="1">
      <x:c r="A304" s="89" t="str">
        <x:v>PATCH-005</x:v>
      </x:c>
      <x:c r="B304" s="89" t="str">
        <x:v>Update Opportunity</x:v>
      </x:c>
      <x:c r="C304" s="89" t="str">
        <x:v>Passed</x:v>
      </x:c>
      <x:c r="D304" s="89" t="n">
        <x:v>3</x:v>
      </x:c>
      <x:c r="E304" s="89" t="str">
        <x:v>POST</x:v>
      </x:c>
      <x:c r="F304" s="89" t="str">
        <x:v>/api/v1/auth/login</x:v>
      </x:c>
      <x:c r="G304" s="90" t="str">
        <x:v>null</x:v>
      </x:c>
      <x:c r="H304" s="90" t="str">
        <x:v>{"email":"alex.chen@grow8.dev","password":"&lt;redacted&gt;"}</x:v>
      </x:c>
      <x:c r="I304" s="90" t="n">
        <x:v>200</x:v>
      </x:c>
      <x:c r="J304" s="90" t="str">
        <x:v>{"access_token":"&lt;redacted&gt;","token_type":"bearer","expires_in":3600,"user":{"user_id":5,"email":"alex.chen@grow8.dev","full_name":"Alex Chen","role":"contributor"}}</x:v>
      </x:c>
      <x:c r="K304" s="89" t="str"/>
    </x:row>
    <x:row r="305" ht="35" customHeight="1">
      <x:c r="A305" s="89" t="str">
        <x:v>PATCH-005</x:v>
      </x:c>
      <x:c r="B305" s="89" t="str">
        <x:v>Update Opportunity</x:v>
      </x:c>
      <x:c r="C305" s="89" t="str">
        <x:v>Passed</x:v>
      </x:c>
      <x:c r="D305" s="89" t="n">
        <x:v>4</x:v>
      </x:c>
      <x:c r="E305" s="89" t="str">
        <x:v>PATCH</x:v>
      </x:c>
      <x:c r="F305" s="89" t="str">
        <x:v>/api/v1/opportunities/25</x:v>
      </x:c>
      <x:c r="G305" s="90" t="str">
        <x:v>null</x:v>
      </x:c>
      <x:c r="H305" s="90" t="str">
        <x:v>{"title":"Unauthorized edit"}</x:v>
      </x:c>
      <x:c r="I305" s="90" t="n">
        <x:v>403</x:v>
      </x:c>
      <x:c r="J305" s="90" t="str">
        <x:v>{"error":{"code":"ROLE_FORBIDDEN","message":"This action requires role: creator"}}</x:v>
      </x:c>
      <x:c r="K305" s="89" t="str">
        <x:v>Case duration 00:00:01</x:v>
      </x:c>
    </x:row>
    <x:row r="306" ht="35" customHeight="1">
      <x:c r="A306" s="89" t="str">
        <x:v>PATCH-006</x:v>
      </x:c>
      <x:c r="B306" s="89" t="str">
        <x:v>Update Opportunity</x:v>
      </x:c>
      <x:c r="C306" s="89" t="str">
        <x:v>Passed</x:v>
      </x:c>
      <x:c r="D306" s="89" t="n">
        <x:v>1</x:v>
      </x:c>
      <x:c r="E306" s="89" t="str">
        <x:v>POST</x:v>
      </x:c>
      <x:c r="F306" s="89" t="str">
        <x:v>/api/v1/auth/login</x:v>
      </x:c>
      <x:c r="G306" s="90" t="str">
        <x:v>null</x:v>
      </x:c>
      <x:c r="H306" s="90" t="str">
        <x:v>{"email":"maple.bakery@grow8.dev","password":"&lt;redacted&gt;"}</x:v>
      </x:c>
      <x:c r="I306" s="90" t="n">
        <x:v>200</x:v>
      </x:c>
      <x:c r="J306" s="90" t="str">
        <x:v>{"access_token":"&lt;redacted&gt;","token_type":"bearer","expires_in":3600,"user":{"user_id":2,"email":"maple.bakery@grow8.dev","full_name":"Priya Nair","role":"creator"}}</x:v>
      </x:c>
      <x:c r="K306" s="89" t="str"/>
    </x:row>
    <x:row r="307" ht="35" customHeight="1">
      <x:c r="A307" s="89" t="str">
        <x:v>PATCH-006</x:v>
      </x:c>
      <x:c r="B307" s="89" t="str">
        <x:v>Update Opportunity</x:v>
      </x:c>
      <x:c r="C307" s="89" t="str">
        <x:v>Passed</x:v>
      </x:c>
      <x:c r="D307" s="89" t="n">
        <x:v>2</x:v>
      </x:c>
      <x:c r="E307" s="89" t="str">
        <x:v>POST</x:v>
      </x:c>
      <x:c r="F307" s="89" t="str">
        <x:v>/api/v1/opportunities</x:v>
      </x:c>
      <x:c r="G307" s="90" t="str">
        <x:v>null</x:v>
      </x:c>
      <x:c r="H307" s="90" t="str">
        <x:v>{"title":"Approved QA Inventory Project","description":"Record and organize donated inventory for the team.","category":"community","skills":["inventory","spreadsheets"],"requirements":"Attention to detail","location":"Calgary","work_mode":"remote","start_date":"2027-03-01","end_date":"2027-03-20","expected_hours":8,"compensation_type":"paid","compensation_amount":160,"compensation_details":"Fixed honorarium","applicant_limit":3,"application_deadline":"2027-02-15T23:59:00-07:00","working_conditions":"Flexible daytime hours","safety_information":"Remote work with normal computer precautions","accessibility_details":"Flexible scheduling and screen-reader-friendly records"}</x:v>
      </x:c>
      <x:c r="I307" s="90" t="n">
        <x:v>201</x:v>
      </x:c>
      <x:c r="J307" s="90" t="str">
        <x:v>{"opportunity_id":26,"title":"Approved QA Inventory Project","description":"Record and organize donated inventory for the team.","status":"draft","category":{"code":"community","name":"Community","description":"Physical tasks, community activities and event-based support."},"organization":{"organization_id":1,"name":"Maple Street Bakery","organization_type":"small_business","city":"Calgary"},"skills":[{"code":"inventory","name":"Inventory management"},{"code":"spreadsheets","name":"Spreadsheets"}],"requirements":"Attention to detail","location":"Calgary","work_mode":"remote","start_date":"2027-03-01","end_date":"2027-03-20","expected_hours":8.0,"compensation_type":"paid","compensation_amount":160.0,"compensation_details":"Fixed honorarium","applicant_limit":3,"application_deadline":"2027-02-16T06:59:00Z","working_conditions":"Flexible daytime hours","safety_information":"Remote work with normal computer precautions","accessibility_details":"Flexible scheduling and screen-reader-friendly records","published_at":null,"created_at":"2026-10-28T06:03:41Z","updated_at":"2026-10-28T06:03:41Z"}</x:v>
      </x:c>
      <x:c r="K307" s="89" t="str"/>
    </x:row>
    <x:row r="308" ht="35" customHeight="1">
      <x:c r="A308" s="89" t="str">
        <x:v>PATCH-006</x:v>
      </x:c>
      <x:c r="B308" s="89" t="str">
        <x:v>Update Opportunity</x:v>
      </x:c>
      <x:c r="C308" s="89" t="str">
        <x:v>Passed</x:v>
      </x:c>
      <x:c r="D308" s="89" t="n">
        <x:v>3</x:v>
      </x:c>
      <x:c r="E308" s="89" t="str">
        <x:v>POST</x:v>
      </x:c>
      <x:c r="F308" s="89" t="str">
        <x:v>/api/v1/auth/login</x:v>
      </x:c>
      <x:c r="G308" s="90" t="str">
        <x:v>null</x:v>
      </x:c>
      <x:c r="H308" s="90" t="str">
        <x:v>{"email":"yyc.events@grow8.dev","password":"&lt;redacted&gt;"}</x:v>
      </x:c>
      <x:c r="I308" s="90" t="n">
        <x:v>200</x:v>
      </x:c>
      <x:c r="J308" s="90" t="str">
        <x:v>{"access_token":"&lt;redacted&gt;","token_type":"bearer","expires_in":3600,"user":{"user_id":4,"email":"yyc.events@grow8.dev","full_name":"Sofia Martinez","role":"creator"}}</x:v>
      </x:c>
      <x:c r="K308" s="89" t="str"/>
    </x:row>
    <x:row r="309" ht="35" customHeight="1">
      <x:c r="A309" s="89" t="str">
        <x:v>PATCH-006</x:v>
      </x:c>
      <x:c r="B309" s="89" t="str">
        <x:v>Update Opportunity</x:v>
      </x:c>
      <x:c r="C309" s="89" t="str">
        <x:v>Passed</x:v>
      </x:c>
      <x:c r="D309" s="89" t="n">
        <x:v>4</x:v>
      </x:c>
      <x:c r="E309" s="89" t="str">
        <x:v>PATCH</x:v>
      </x:c>
      <x:c r="F309" s="89" t="str">
        <x:v>/api/v1/opportunities/26</x:v>
      </x:c>
      <x:c r="G309" s="90" t="str">
        <x:v>null</x:v>
      </x:c>
      <x:c r="H309" s="90" t="str">
        <x:v>{"title":"Unauthorized edit"}</x:v>
      </x:c>
      <x:c r="I309" s="90" t="n">
        <x:v>404</x:v>
      </x:c>
      <x:c r="J309" s="90" t="str">
        <x:v>{"error":{"code":"OPPORTUNITY_NOT_FOUND","message":"Opportunity not found"}}</x:v>
      </x:c>
      <x:c r="K309" s="89" t="str">
        <x:v>Case duration 00:00:01</x:v>
      </x:c>
    </x:row>
    <x:row r="310" ht="35" customHeight="1">
      <x:c r="A310" s="89" t="str">
        <x:v>PATCH-007</x:v>
      </x:c>
      <x:c r="B310" s="89" t="str">
        <x:v>Update Opportunity</x:v>
      </x:c>
      <x:c r="C310" s="89" t="str">
        <x:v>Passed</x:v>
      </x:c>
      <x:c r="D310" s="89" t="n">
        <x:v>1</x:v>
      </x:c>
      <x:c r="E310" s="89" t="str">
        <x:v>POST</x:v>
      </x:c>
      <x:c r="F310" s="89" t="str">
        <x:v>/api/v1/auth/login</x:v>
      </x:c>
      <x:c r="G310" s="90" t="str">
        <x:v>null</x:v>
      </x:c>
      <x:c r="H310" s="90" t="str">
        <x:v>{"email":"maple.bakery@grow8.dev","password":"&lt;redacted&gt;"}</x:v>
      </x:c>
      <x:c r="I310" s="90" t="n">
        <x:v>200</x:v>
      </x:c>
      <x:c r="J310" s="90" t="str">
        <x:v>{"access_token":"&lt;redacted&gt;","token_type":"bearer","expires_in":3600,"user":{"user_id":2,"email":"maple.bakery@grow8.dev","full_name":"Priya Nair","role":"creator"}}</x:v>
      </x:c>
      <x:c r="K310" s="89" t="str"/>
    </x:row>
    <x:row r="311" ht="35" customHeight="1">
      <x:c r="A311" s="89" t="str">
        <x:v>PATCH-007</x:v>
      </x:c>
      <x:c r="B311" s="89" t="str">
        <x:v>Update Opportunity</x:v>
      </x:c>
      <x:c r="C311" s="89" t="str">
        <x:v>Passed</x:v>
      </x:c>
      <x:c r="D311" s="89" t="n">
        <x:v>2</x:v>
      </x:c>
      <x:c r="E311" s="89" t="str">
        <x:v>POST</x:v>
      </x:c>
      <x:c r="F311" s="89" t="str">
        <x:v>/api/v1/opportunities</x:v>
      </x:c>
      <x:c r="G311" s="90" t="str">
        <x:v>null</x:v>
      </x:c>
      <x:c r="H311" s="90" t="str">
        <x:v>{"title":"Approved QA Inventory Project","description":"Record and organize donated inventory for the team.","category":"community","skills":["inventory","spreadsheets"],"requirements":"Attention to detail","location":"Calgary","work_mode":"remote","start_date":"2027-03-01","end_date":"2027-03-20","expected_hours":8,"compensation_type":"paid","compensation_amount":160,"compensation_details":"Fixed honorarium","applicant_limit":3,"application_deadline":"2027-02-15T23:59:00-07:00","working_conditions":"Flexible daytime hours","safety_information":"Remote work with normal computer precautions","accessibility_details":"Flexible scheduling and screen-reader-friendly records"}</x:v>
      </x:c>
      <x:c r="I311" s="90" t="n">
        <x:v>201</x:v>
      </x:c>
      <x:c r="J311" s="90" t="str">
        <x:v>{"opportunity_id":27,"title":"Approved QA Inventory Project","description":"Record and organize donated inventory for the team.","status":"draft","category":{"code":"community","name":"Community","description":"Physical tasks, community activities and event-based support."},"organization":{"organization_id":1,"name":"Maple Street Bakery","organization_type":"small_business","city":"Calgary"},"skills":[{"code":"inventory","name":"Inventory management"},{"code":"spreadsheets","name":"Spreadsheets"}],"requirements":"Attention to detail","location":"Calgary","work_mode":"remote","start_date":"2027-03-01","end_date":"2027-03-20","expected_hours":8.0,"compensation_type":"paid","compensation_amount":160.0,"compensation_details":"Fixed honorarium","applicant_limit":3,"application_deadline":"2027-02-16T06:59:00Z","working_conditions":"Flexible daytime hours","safety_information":"Remote work with normal computer precautions","accessibility_details":"Flexible scheduling and screen-reader-friendly records","published_at":null,"created_at":"2026-10-28T06:03:42Z","updated_at":"2026-10-28T06:03:42Z"}</x:v>
      </x:c>
      <x:c r="K311" s="89" t="str"/>
    </x:row>
    <x:row r="312" ht="35" customHeight="1">
      <x:c r="A312" s="89" t="str">
        <x:v>PATCH-007</x:v>
      </x:c>
      <x:c r="B312" s="89" t="str">
        <x:v>Update Opportunity</x:v>
      </x:c>
      <x:c r="C312" s="89" t="str">
        <x:v>Passed</x:v>
      </x:c>
      <x:c r="D312" s="89" t="n">
        <x:v>3</x:v>
      </x:c>
      <x:c r="E312" s="89" t="str">
        <x:v>POST</x:v>
      </x:c>
      <x:c r="F312" s="89" t="str">
        <x:v>/api/v1/opportunities/27/publish</x:v>
      </x:c>
      <x:c r="G312" s="90" t="str">
        <x:v>null</x:v>
      </x:c>
      <x:c r="H312" s="90" t="str">
        <x:v>null</x:v>
      </x:c>
      <x:c r="I312" s="90" t="n">
        <x:v>200</x:v>
      </x:c>
      <x:c r="J312" s="90" t="str">
        <x:v>{"opportunity_id":27,"title":"Approved QA Inventory Project","description":"Record and organize donated inventory for the team.","status":"open","category":{"code":"community","name":"Community","description":"Physical tasks, community activities and event-based support."},"organization":{"organization_id":1,"name":"Maple Street Bakery","organization_type":"small_business","city":"Calgary"},"skills":[{"code":"inventory","name":"Inventory management"},{"code":"spreadsheets","name":"Spreadsheets"}],"requirements":"Attention to detail","location":"Calgary","work_mode":"remote","start_date":"2027-03-01","end_date":"2027-03-20","expected_hours":8.0,"compensation_type":"paid","compensation_amount":160.0,"compensation_details":"Fixed honorarium","applicant_limit":3,"application_deadline":"2027-02-16T06:59:00Z","working_conditions":"Flexible daytime hours","safety_information":"Remote work with normal computer precautions","accessibility_details":"Flexible scheduling and screen-reader-friendly records","published_at":"2026-10-16T12:00:00Z","created_at":"2026-10-28T06:03:42Z","updated_at":"2026-10-28T06:03:42Z"}</x:v>
      </x:c>
      <x:c r="K312" s="89" t="str"/>
    </x:row>
    <x:row r="313" ht="35" customHeight="1">
      <x:c r="A313" s="89" t="str">
        <x:v>PATCH-007</x:v>
      </x:c>
      <x:c r="B313" s="89" t="str">
        <x:v>Update Opportunity</x:v>
      </x:c>
      <x:c r="C313" s="89" t="str">
        <x:v>Passed</x:v>
      </x:c>
      <x:c r="D313" s="89" t="n">
        <x:v>4</x:v>
      </x:c>
      <x:c r="E313" s="89" t="str">
        <x:v>PATCH</x:v>
      </x:c>
      <x:c r="F313" s="89" t="str">
        <x:v>/api/v1/opportunities/27</x:v>
      </x:c>
      <x:c r="G313" s="90" t="str">
        <x:v>null</x:v>
      </x:c>
      <x:c r="H313" s="90" t="str">
        <x:v>{"title":"Bad edit"}</x:v>
      </x:c>
      <x:c r="I313" s="90" t="n">
        <x:v>409</x:v>
      </x:c>
      <x:c r="J313" s="90" t="str">
        <x:v>{"error":{"code":"OPPORTUNITY_NOT_DRAFT","message":"Only draft opportunities can be edited"}}</x:v>
      </x:c>
      <x:c r="K313" s="89" t="str"/>
    </x:row>
    <x:row r="314" ht="35" customHeight="1">
      <x:c r="A314" s="89" t="str">
        <x:v>PATCH-007</x:v>
      </x:c>
      <x:c r="B314" s="89" t="str">
        <x:v>Update Opportunity</x:v>
      </x:c>
      <x:c r="C314" s="89" t="str">
        <x:v>Passed</x:v>
      </x:c>
      <x:c r="D314" s="89" t="n">
        <x:v>5</x:v>
      </x:c>
      <x:c r="E314" s="89" t="str">
        <x:v>GET</x:v>
      </x:c>
      <x:c r="F314" s="89" t="str">
        <x:v>/api/v1/opportunities/27</x:v>
      </x:c>
      <x:c r="G314" s="90" t="str">
        <x:v>null</x:v>
      </x:c>
      <x:c r="H314" s="90" t="str">
        <x:v>null</x:v>
      </x:c>
      <x:c r="I314" s="90" t="n">
        <x:v>200</x:v>
      </x:c>
      <x:c r="J314" s="90" t="str">
        <x:v>{"opportunity_id":27,"title":"Approved QA Inventory Project","description":"Record and organize donated inventory for the team.","status":"open","category":{"code":"community","name":"Community","description":"Physical tasks, community activities and event-based support."},"organization":{"organization_id":1,"name":"Maple Street Bakery","organization_type":"small_business","city":"Calgary"},"skills":[{"code":"inventory","name":"Inventory management"},{"code":"spreadsheets","name":"Spreadsheets"}],"requirements":"Attention to detail","location":"Calgary","work_mode":"remote","start_date":"2027-03-01","end_date":"2027-03-20","expected_hours":8.0,"compensation_type":"paid","compensation_amount":160.0,"compensation_details":"Fixed honorarium","applicant_limit":3,"application_deadline":"2027-02-16T06:59:00Z","working_conditions":"Flexible daytime hours","safety_information":"Remote work with normal computer precautions","accessibility_details":"Flexible scheduling and screen-reader-friendly records","published_at":"2026-10-16T12:00:00Z","created_at":"2026-10-28T06:03:42Z","updated_at":"2026-10-28T06:03:42Z"}</x:v>
      </x:c>
      <x:c r="K314" s="89" t="str">
        <x:v>Case duration 907 ms</x:v>
      </x:c>
    </x:row>
    <x:row r="315" ht="35" customHeight="1">
      <x:c r="A315" s="89" t="str">
        <x:v>PATCH-008</x:v>
      </x:c>
      <x:c r="B315" s="89" t="str">
        <x:v>Update Opportunity</x:v>
      </x:c>
      <x:c r="C315" s="89" t="str">
        <x:v>Passed</x:v>
      </x:c>
      <x:c r="D315" s="89" t="n">
        <x:v>1</x:v>
      </x:c>
      <x:c r="E315" s="89" t="str">
        <x:v>POST</x:v>
      </x:c>
      <x:c r="F315" s="89" t="str">
        <x:v>/api/v1/auth/login</x:v>
      </x:c>
      <x:c r="G315" s="90" t="str">
        <x:v>null</x:v>
      </x:c>
      <x:c r="H315" s="90" t="str">
        <x:v>{"email":"maple.bakery@grow8.dev","password":"&lt;redacted&gt;"}</x:v>
      </x:c>
      <x:c r="I315" s="90" t="n">
        <x:v>200</x:v>
      </x:c>
      <x:c r="J315" s="90" t="str">
        <x:v>{"access_token":"&lt;redacted&gt;","token_type":"bearer","expires_in":3600,"user":{"user_id":2,"email":"maple.bakery@grow8.dev","full_name":"Priya Nair","role":"creator"}}</x:v>
      </x:c>
      <x:c r="K315" s="89" t="str"/>
    </x:row>
    <x:row r="316" ht="35" customHeight="1">
      <x:c r="A316" s="89" t="str">
        <x:v>PATCH-008</x:v>
      </x:c>
      <x:c r="B316" s="89" t="str">
        <x:v>Update Opportunity</x:v>
      </x:c>
      <x:c r="C316" s="89" t="str">
        <x:v>Passed</x:v>
      </x:c>
      <x:c r="D316" s="89" t="n">
        <x:v>2</x:v>
      </x:c>
      <x:c r="E316" s="89" t="str">
        <x:v>POST</x:v>
      </x:c>
      <x:c r="F316" s="89" t="str">
        <x:v>/api/v1/opportunities</x:v>
      </x:c>
      <x:c r="G316" s="90" t="str">
        <x:v>null</x:v>
      </x:c>
      <x:c r="H316" s="90" t="str">
        <x:v>{"title":"Approved QA Inventory Project","description":"Record and organize donated inventory for the team.","category":"community","skills":["inventory","spreadsheets"],"requirements":"Attention to detail","location":"Calgary","work_mode":"remote","start_date":"2027-03-01","end_date":"2027-03-20","expected_hours":8,"compensation_type":"paid","compensation_amount":160,"compensation_details":"Fixed honorarium","applicant_limit":3,"application_deadline":"2027-02-15T23:59:00-07:00","working_conditions":"Flexible daytime hours","safety_information":"Remote work with normal computer precautions","accessibility_details":"Flexible scheduling and screen-reader-friendly records"}</x:v>
      </x:c>
      <x:c r="I316" s="90" t="n">
        <x:v>201</x:v>
      </x:c>
      <x:c r="J316" s="90" t="str">
        <x:v>{"opportunity_id":28,"title":"Approved QA Inventory Project","description":"Record and organize donated inventory for the team.","status":"draft","category":{"code":"community","name":"Community","description":"Physical tasks, community activities and event-based support."},"organization":{"organization_id":1,"name":"Maple Street Bakery","organization_type":"small_business","city":"Calgary"},"skills":[{"code":"inventory","name":"Inventory management"},{"code":"spreadsheets","name":"Spreadsheets"}],"requirements":"Attention to detail","location":"Calgary","work_mode":"remote","start_date":"2027-03-01","end_date":"2027-03-20","expected_hours":8.0,"compensation_type":"paid","compensation_amount":160.0,"compensation_details":"Fixed honorarium","applicant_limit":3,"application_deadline":"2027-02-16T06:59:00Z","working_conditions":"Flexible daytime hours","safety_information":"Remote work with normal computer precautions","accessibility_details":"Flexible scheduling and screen-reader-friendly records","published_at":null,"created_at":"2026-10-28T06:03:43Z","updated_at":"2026-10-28T06:03:43Z"}</x:v>
      </x:c>
      <x:c r="K316" s="89" t="str"/>
    </x:row>
    <x:row r="317" ht="35" customHeight="1">
      <x:c r="A317" s="89" t="str">
        <x:v>PATCH-008</x:v>
      </x:c>
      <x:c r="B317" s="89" t="str">
        <x:v>Update Opportunity</x:v>
      </x:c>
      <x:c r="C317" s="89" t="str">
        <x:v>Passed</x:v>
      </x:c>
      <x:c r="D317" s="89" t="n">
        <x:v>3</x:v>
      </x:c>
      <x:c r="E317" s="89" t="str">
        <x:v>PATCH</x:v>
      </x:c>
      <x:c r="F317" s="89" t="str">
        <x:v>/api/v1/opportunities/999999</x:v>
      </x:c>
      <x:c r="G317" s="90" t="str">
        <x:v>null</x:v>
      </x:c>
      <x:c r="H317" s="90" t="str">
        <x:v>{"title":"Missing record"}</x:v>
      </x:c>
      <x:c r="I317" s="90" t="n">
        <x:v>404</x:v>
      </x:c>
      <x:c r="J317" s="90" t="str">
        <x:v>{"error":{"code":"OPPORTUNITY_NOT_FOUND","message":"Opportunity not found"}}</x:v>
      </x:c>
      <x:c r="K317" s="89" t="str">
        <x:v>Case duration 740 ms</x:v>
      </x:c>
    </x:row>
    <x:row r="318" ht="35" customHeight="1">
      <x:c r="A318" s="89" t="str">
        <x:v>PATCH-009</x:v>
      </x:c>
      <x:c r="B318" s="89" t="str">
        <x:v>Update Opportunity</x:v>
      </x:c>
      <x:c r="C318" s="89" t="str">
        <x:v>Passed</x:v>
      </x:c>
      <x:c r="D318" s="89" t="n">
        <x:v>1</x:v>
      </x:c>
      <x:c r="E318" s="89" t="str">
        <x:v>POST</x:v>
      </x:c>
      <x:c r="F318" s="89" t="str">
        <x:v>/api/v1/auth/login</x:v>
      </x:c>
      <x:c r="G318" s="90" t="str">
        <x:v>null</x:v>
      </x:c>
      <x:c r="H318" s="90" t="str">
        <x:v>{"email":"maple.bakery@grow8.dev","password":"&lt;redacted&gt;"}</x:v>
      </x:c>
      <x:c r="I318" s="90" t="n">
        <x:v>200</x:v>
      </x:c>
      <x:c r="J318" s="90" t="str">
        <x:v>{"access_token":"&lt;redacted&gt;","token_type":"bearer","expires_in":3600,"user":{"user_id":2,"email":"maple.bakery@grow8.dev","full_name":"Priya Nair","role":"creator"}}</x:v>
      </x:c>
      <x:c r="K318" s="89" t="str"/>
    </x:row>
    <x:row r="319" ht="35" customHeight="1">
      <x:c r="A319" s="89" t="str">
        <x:v>PATCH-009</x:v>
      </x:c>
      <x:c r="B319" s="89" t="str">
        <x:v>Update Opportunity</x:v>
      </x:c>
      <x:c r="C319" s="89" t="str">
        <x:v>Passed</x:v>
      </x:c>
      <x:c r="D319" s="89" t="n">
        <x:v>2</x:v>
      </x:c>
      <x:c r="E319" s="89" t="str">
        <x:v>POST</x:v>
      </x:c>
      <x:c r="F319" s="89" t="str">
        <x:v>/api/v1/opportunities</x:v>
      </x:c>
      <x:c r="G319" s="90" t="str">
        <x:v>null</x:v>
      </x:c>
      <x:c r="H319" s="90" t="str">
        <x:v>{"title":"Approved QA Inventory Project","description":"Record and organize donated inventory for the team.","category":"community","skills":["inventory","spreadsheets"],"requirements":"Attention to detail","location":"Calgary","work_mode":"remote","start_date":"2027-03-01","end_date":"2027-03-20","expected_hours":8,"compensation_type":"paid","compensation_amount":160,"compensation_details":"Fixed honorarium","applicant_limit":3,"application_deadline":"2027-02-15T23:59:00-07:00","working_conditions":"Flexible daytime hours","safety_information":"Remote work with normal computer precautions","accessibility_details":"Flexible scheduling and screen-reader-friendly records"}</x:v>
      </x:c>
      <x:c r="I319" s="90" t="n">
        <x:v>201</x:v>
      </x:c>
      <x:c r="J319" s="90" t="str">
        <x:v>{"opportunity_id":29,"title":"Approved QA Inventory Project","description":"Record and organize donated inventory for the team.","status":"draft","category":{"code":"community","name":"Community","description":"Physical tasks, community activities and event-based support."},"organization":{"organization_id":1,"name":"Maple Street Bakery","organization_type":"small_business","city":"Calgary"},"skills":[{"code":"inventory","name":"Inventory management"},{"code":"spreadsheets","name":"Spreadsheets"}],"requirements":"Attention to detail","location":"Calgary","work_mode":"remote","start_date":"2027-03-01","end_date":"2027-03-20","expected_hours":8.0,"compensation_type":"paid","compensation_amount":160.0,"compensation_details":"Fixed honorarium","applicant_limit":3,"application_deadline":"2027-02-16T06:59:00Z","working_conditions":"Flexible daytime hours","safety_information":"Remote work with normal computer precautions","accessibility_details":"Flexible scheduling and screen-reader-friendly records","published_at":null,"created_at":"2026-10-28T06:03:44Z","updated_at":"2026-10-28T06:03:44Z"}</x:v>
      </x:c>
      <x:c r="K319" s="89" t="str"/>
    </x:row>
    <x:row r="320" ht="35" customHeight="1">
      <x:c r="A320" s="89" t="str">
        <x:v>PATCH-009</x:v>
      </x:c>
      <x:c r="B320" s="89" t="str">
        <x:v>Update Opportunity</x:v>
      </x:c>
      <x:c r="C320" s="89" t="str">
        <x:v>Passed</x:v>
      </x:c>
      <x:c r="D320" s="89" t="n">
        <x:v>3</x:v>
      </x:c>
      <x:c r="E320" s="89" t="str">
        <x:v>PATCH</x:v>
      </x:c>
      <x:c r="F320" s="89" t="str">
        <x:v>/api/v1/opportunities/29</x:v>
      </x:c>
      <x:c r="G320" s="90" t="str">
        <x:v>null</x:v>
      </x:c>
      <x:c r="H320" s="90" t="str">
        <x:v>{"title":null}</x:v>
      </x:c>
      <x:c r="I320" s="90" t="n">
        <x:v>422</x:v>
      </x:c>
      <x:c r="J320" s="90" t="str">
        <x:v>{"error":{"code":"VALIDATION_ERROR","message":"Request validation failed","details":[{"loc":["body"],"message":"Value error, title cannot be null","type":"value_error"}]}}</x:v>
      </x:c>
      <x:c r="K320" s="89" t="str">
        <x:v>Case duration 980 ms</x:v>
      </x:c>
    </x:row>
    <x:row r="321" ht="35" customHeight="1">
      <x:c r="A321" s="89" t="str">
        <x:v>PATCH-010</x:v>
      </x:c>
      <x:c r="B321" s="89" t="str">
        <x:v>Update Opportunity</x:v>
      </x:c>
      <x:c r="C321" s="89" t="str">
        <x:v>Passed</x:v>
      </x:c>
      <x:c r="D321" s="89" t="n">
        <x:v>1</x:v>
      </x:c>
      <x:c r="E321" s="89" t="str">
        <x:v>POST</x:v>
      </x:c>
      <x:c r="F321" s="89" t="str">
        <x:v>/api/v1/auth/login</x:v>
      </x:c>
      <x:c r="G321" s="90" t="str">
        <x:v>null</x:v>
      </x:c>
      <x:c r="H321" s="90" t="str">
        <x:v>{"email":"maple.bakery@grow8.dev","password":"&lt;redacted&gt;"}</x:v>
      </x:c>
      <x:c r="I321" s="90" t="n">
        <x:v>200</x:v>
      </x:c>
      <x:c r="J321" s="90" t="str">
        <x:v>{"access_token":"&lt;redacted&gt;","token_type":"bearer","expires_in":3600,"user":{"user_id":2,"email":"maple.bakery@grow8.dev","full_name":"Priya Nair","role":"creator"}}</x:v>
      </x:c>
      <x:c r="K321" s="89" t="str"/>
    </x:row>
    <x:row r="322" ht="35" customHeight="1">
      <x:c r="A322" s="89" t="str">
        <x:v>PATCH-010</x:v>
      </x:c>
      <x:c r="B322" s="89" t="str">
        <x:v>Update Opportunity</x:v>
      </x:c>
      <x:c r="C322" s="89" t="str">
        <x:v>Passed</x:v>
      </x:c>
      <x:c r="D322" s="89" t="n">
        <x:v>2</x:v>
      </x:c>
      <x:c r="E322" s="89" t="str">
        <x:v>POST</x:v>
      </x:c>
      <x:c r="F322" s="89" t="str">
        <x:v>/api/v1/opportunities</x:v>
      </x:c>
      <x:c r="G322" s="90" t="str">
        <x:v>null</x:v>
      </x:c>
      <x:c r="H322" s="90" t="str">
        <x:v>{"title":"Approved QA Inventory Project","description":"Record and organize donated inventory for the team.","category":"community","skills":["inventory","spreadsheets"],"requirements":"Attention to detail","location":"Calgary","work_mode":"remote","start_date":"2027-03-01","end_date":"2027-03-20","expected_hours":8,"compensation_type":"paid","compensation_amount":160,"compensation_details":"Fixed honorarium","applicant_limit":3,"application_deadline":"2027-02-15T23:59:00-07:00","working_conditions":"Flexible daytime hours","safety_information":"Remote work with normal computer precautions","accessibility_details":"Flexible scheduling and screen-reader-friendly records"}</x:v>
      </x:c>
      <x:c r="I322" s="90" t="n">
        <x:v>201</x:v>
      </x:c>
      <x:c r="J322" s="90" t="str">
        <x:v>{"opportunity_id":30,"title":"Approved QA Inventory Project","description":"Record and organize donated inventory for the team.","status":"draft","category":{"code":"community","name":"Community","description":"Physical tasks, community activities and event-based support."},"organization":{"organization_id":1,"name":"Maple Street Bakery","organization_type":"small_business","city":"Calgary"},"skills":[{"code":"inventory","name":"Inventory management"},{"code":"spreadsheets","name":"Spreadsheets"}],"requirements":"Attention to detail","location":"Calgary","work_mode":"remote","start_date":"2027-03-01","end_date":"2027-03-20","expected_hours":8.0,"compensation_type":"paid","compensation_amount":160.0,"compensation_details":"Fixed honorarium","applicant_limit":3,"application_deadline":"2027-02-16T06:59:00Z","working_conditions":"Flexible daytime hours","safety_information":"Remote work with normal computer precautions","accessibility_details":"Flexible scheduling and screen-reader-friendly records","published_at":null,"created_at":"2026-10-28T06:03:45Z","updated_at":"2026-10-28T06:03:45Z"}</x:v>
      </x:c>
      <x:c r="K322" s="89" t="str"/>
    </x:row>
    <x:row r="323" ht="35" customHeight="1">
      <x:c r="A323" s="89" t="str">
        <x:v>PATCH-010</x:v>
      </x:c>
      <x:c r="B323" s="89" t="str">
        <x:v>Update Opportunity</x:v>
      </x:c>
      <x:c r="C323" s="89" t="str">
        <x:v>Passed</x:v>
      </x:c>
      <x:c r="D323" s="89" t="n">
        <x:v>3</x:v>
      </x:c>
      <x:c r="E323" s="89" t="str">
        <x:v>PATCH</x:v>
      </x:c>
      <x:c r="F323" s="89" t="str">
        <x:v>/api/v1/opportunities/30</x:v>
      </x:c>
      <x:c r="G323" s="90" t="str">
        <x:v>null</x:v>
      </x:c>
      <x:c r="H323" s="90" t="str">
        <x:v>{"end_date":"2027-02-28"}</x:v>
      </x:c>
      <x:c r="I323" s="90" t="n">
        <x:v>422</x:v>
      </x:c>
      <x:c r="J323" s="90" t="str">
        <x:v>{"error":{"code":"INVALID_DATES","message":"end_date must be on or after start_date"}}</x:v>
      </x:c>
      <x:c r="K323" s="89" t="str"/>
    </x:row>
    <x:row r="324" ht="35" customHeight="1">
      <x:c r="A324" s="89" t="str">
        <x:v>PATCH-010</x:v>
      </x:c>
      <x:c r="B324" s="89" t="str">
        <x:v>Update Opportunity</x:v>
      </x:c>
      <x:c r="C324" s="89" t="str">
        <x:v>Passed</x:v>
      </x:c>
      <x:c r="D324" s="89" t="n">
        <x:v>4</x:v>
      </x:c>
      <x:c r="E324" s="89" t="str">
        <x:v>GET</x:v>
      </x:c>
      <x:c r="F324" s="89" t="str">
        <x:v>/api/v1/opportunities/30</x:v>
      </x:c>
      <x:c r="G324" s="90" t="str">
        <x:v>null</x:v>
      </x:c>
      <x:c r="H324" s="90" t="str">
        <x:v>null</x:v>
      </x:c>
      <x:c r="I324" s="90" t="n">
        <x:v>200</x:v>
      </x:c>
      <x:c r="J324" s="90" t="str">
        <x:v>{"opportunity_id":30,"title":"Approved QA Inventory Project","description":"Record and organize donated inventory for the team.","status":"draft","category":{"code":"community","name":"Community","description":"Physical tasks, community activities and event-based support."},"organization":{"organization_id":1,"name":"Maple Street Bakery","organization_type":"small_business","city":"Calgary"},"skills":[{"code":"inventory","name":"Inventory management"},{"code":"spreadsheets","name":"Spreadsheets"}],"requirements":"Attention to detail","location":"Calgary","work_mode":"remote","start_date":"2027-03-01","end_date":"2027-03-20","expected_hours":8.0,"compensation_type":"paid","compensation_amount":160.0,"compensation_details":"Fixed honorarium","applicant_limit":3,"application_deadline":"2027-02-16T06:59:00Z","working_conditions":"Flexible daytime hours","safety_information":"Remote work with normal computer precautions","accessibility_details":"Flexible scheduling and screen-reader-friendly records","published_at":null,"created_at":"2026-10-28T06:03:45Z","updated_at":"2026-10-28T06:03:45Z"}</x:v>
      </x:c>
      <x:c r="K324" s="89" t="str">
        <x:v>Case duration 921 ms</x:v>
      </x:c>
    </x:row>
    <x:row r="325" ht="35" customHeight="1">
      <x:c r="A325" s="89" t="str">
        <x:v>PUB-001</x:v>
      </x:c>
      <x:c r="B325" s="89" t="str">
        <x:v>Publish Opportunity</x:v>
      </x:c>
      <x:c r="C325" s="89" t="str">
        <x:v>Passed</x:v>
      </x:c>
      <x:c r="D325" s="89" t="n">
        <x:v>1</x:v>
      </x:c>
      <x:c r="E325" s="89" t="str">
        <x:v>POST</x:v>
      </x:c>
      <x:c r="F325" s="89" t="str">
        <x:v>/api/v1/auth/login</x:v>
      </x:c>
      <x:c r="G325" s="90" t="str">
        <x:v>null</x:v>
      </x:c>
      <x:c r="H325" s="90" t="str">
        <x:v>{"email":"maple.bakery@grow8.dev","password":"&lt;redacted&gt;"}</x:v>
      </x:c>
      <x:c r="I325" s="90" t="n">
        <x:v>200</x:v>
      </x:c>
      <x:c r="J325" s="90" t="str">
        <x:v>{"access_token":"&lt;redacted&gt;","token_type":"bearer","expires_in":3600,"user":{"user_id":2,"email":"maple.bakery@grow8.dev","full_name":"Priya Nair","role":"creator"}}</x:v>
      </x:c>
      <x:c r="K325" s="89" t="str"/>
    </x:row>
    <x:row r="326" ht="35" customHeight="1">
      <x:c r="A326" s="89" t="str">
        <x:v>PUB-001</x:v>
      </x:c>
      <x:c r="B326" s="89" t="str">
        <x:v>Publish Opportunity</x:v>
      </x:c>
      <x:c r="C326" s="89" t="str">
        <x:v>Passed</x:v>
      </x:c>
      <x:c r="D326" s="89" t="n">
        <x:v>2</x:v>
      </x:c>
      <x:c r="E326" s="89" t="str">
        <x:v>POST</x:v>
      </x:c>
      <x:c r="F326" s="89" t="str">
        <x:v>/api/v1/opportunities</x:v>
      </x:c>
      <x:c r="G326" s="90" t="str">
        <x:v>null</x:v>
      </x:c>
      <x:c r="H326" s="90" t="str">
        <x:v>{"title":"Approved QA Inventory Project","description":"Record and organize donated inventory for the team.","category":"community","skills":["inventory","spreadsheets"],"requirements":"Attention to detail","location":"Calgary","work_mode":"remote","start_date":"2027-03-01","end_date":"2027-03-20","expected_hours":8,"compensation_type":"paid","compensation_amount":160,"compensation_details":"Fixed honorarium","applicant_limit":3,"application_deadline":"2027-02-15T23:59:00-07:00","working_conditions":"Flexible daytime hours","safety_information":"Remote work with normal computer precautions","accessibility_details":"Flexible scheduling and screen-reader-friendly records"}</x:v>
      </x:c>
      <x:c r="I326" s="90" t="n">
        <x:v>201</x:v>
      </x:c>
      <x:c r="J326" s="90" t="str">
        <x:v>{"opportunity_id":31,"title":"Approved QA Inventory Project","description":"Record and organize donated inventory for the team.","status":"draft","category":{"code":"community","name":"Community","description":"Physical tasks, community activities and event-based support."},"organization":{"organization_id":1,"name":"Maple Street Bakery","organization_type":"small_business","city":"Calgary"},"skills":[{"code":"inventory","name":"Inventory management"},{"code":"spreadsheets","name":"Spreadsheets"}],"requirements":"Attention to detail","location":"Calgary","work_mode":"remote","start_date":"2027-03-01","end_date":"2027-03-20","expected_hours":8.0,"compensation_type":"paid","compensation_amount":160.0,"compensation_details":"Fixed honorarium","applicant_limit":3,"application_deadline":"2027-02-16T06:59:00Z","working_conditions":"Flexible daytime hours","safety_information":"Remote work with normal computer precautions","accessibility_details":"Flexible scheduling and screen-reader-friendly records","published_at":null,"created_at":"2026-10-28T06:03:46Z","updated_at":"2026-10-28T06:03:46Z"}</x:v>
      </x:c>
      <x:c r="K326" s="89" t="str"/>
    </x:row>
    <x:row r="327" ht="35" customHeight="1">
      <x:c r="A327" s="89" t="str">
        <x:v>PUB-001</x:v>
      </x:c>
      <x:c r="B327" s="89" t="str">
        <x:v>Publish Opportunity</x:v>
      </x:c>
      <x:c r="C327" s="89" t="str">
        <x:v>Passed</x:v>
      </x:c>
      <x:c r="D327" s="89" t="n">
        <x:v>3</x:v>
      </x:c>
      <x:c r="E327" s="89" t="str">
        <x:v>POST</x:v>
      </x:c>
      <x:c r="F327" s="89" t="str">
        <x:v>/api/v1/opportunities/31/publish</x:v>
      </x:c>
      <x:c r="G327" s="90" t="str">
        <x:v>null</x:v>
      </x:c>
      <x:c r="H327" s="90" t="str">
        <x:v>null</x:v>
      </x:c>
      <x:c r="I327" s="90" t="n">
        <x:v>200</x:v>
      </x:c>
      <x:c r="J327" s="90" t="str">
        <x:v>{"opportunity_id":31,"title":"Approved QA Inventory Project","description":"Record and organize donated inventory for the team.","status":"open","category":{"code":"community","name":"Community","description":"Physical tasks, community activities and event-based support."},"organization":{"organization_id":1,"name":"Maple Street Bakery","organization_type":"small_business","city":"Calgary"},"skills":[{"code":"inventory","name":"Inventory management"},{"code":"spreadsheets","name":"Spreadsheets"}],"requirements":"Attention to detail","location":"Calgary","work_mode":"remote","start_date":"2027-03-01","end_date":"2027-03-20","expected_hours":8.0,"compensation_type":"paid","compensation_amount":160.0,"compensation_details":"Fixed honorarium","applicant_limit":3,"application_deadline":"2027-02-16T06:59:00Z","working_conditions":"Flexible daytime hours","safety_information":"Remote work with normal computer precautions","accessibility_details":"Flexible scheduling and screen-reader-friendly records","published_at":"2026-10-16T12:00:00Z","created_at":"2026-10-28T06:03:46Z","updated_at":"2026-10-28T06:03:46Z"}</x:v>
      </x:c>
      <x:c r="K327" s="89" t="str"/>
    </x:row>
    <x:row r="328" ht="35" customHeight="1">
      <x:c r="A328" s="89" t="str">
        <x:v>PUB-001</x:v>
      </x:c>
      <x:c r="B328" s="89" t="str">
        <x:v>Publish Opportunity</x:v>
      </x:c>
      <x:c r="C328" s="89" t="str">
        <x:v>Passed</x:v>
      </x:c>
      <x:c r="D328" s="89" t="n">
        <x:v>4</x:v>
      </x:c>
      <x:c r="E328" s="89" t="str">
        <x:v>GET</x:v>
      </x:c>
      <x:c r="F328" s="89" t="str">
        <x:v>/api/v1/opportunities/31</x:v>
      </x:c>
      <x:c r="G328" s="90" t="str">
        <x:v>null</x:v>
      </x:c>
      <x:c r="H328" s="90" t="str">
        <x:v>null</x:v>
      </x:c>
      <x:c r="I328" s="90" t="n">
        <x:v>200</x:v>
      </x:c>
      <x:c r="J328" s="90" t="str">
        <x:v>{"opportunity_id":31,"title":"Approved QA Inventory Project","description":"Record and organize donated inventory for the team.","status":"open","category":{"code":"community","name":"Community","description":"Physical tasks, community activities and event-based support."},"organization":{"organization_id":1,"name":"Maple Street Bakery","organization_type":"small_business","city":"Calgary"},"skills":[{"code":"inventory","name":"Inventory management"},{"code":"spreadsheets","name":"Spreadsheets"}],"requirements":"Attention to detail","location":"Calgary","work_mode":"remote","start_date":"2027-03-01","end_date":"2027-03-20","expected_hours":8.0,"compensation_type":"paid","compensation_amount":160.0,"compensation_details":"Fixed honorarium","applicant_limit":3,"application_deadline":"2027-02-16T06:59:00Z","working_conditions":"Flexible daytime hours","safety_information":"Remote work with normal computer precautions","accessibility_details":"Flexible scheduling and screen-reader-friendly records","published_at":"2026-10-16T12:00:00Z","created_at":"2026-10-28T06:03:46Z","updated_at":"2026-10-28T06:03:46Z"}</x:v>
      </x:c>
      <x:c r="K328" s="89" t="str"/>
    </x:row>
    <x:row r="329" ht="35" customHeight="1">
      <x:c r="A329" s="89" t="str">
        <x:v>PUB-001</x:v>
      </x:c>
      <x:c r="B329" s="89" t="str">
        <x:v>Publish Opportunity</x:v>
      </x:c>
      <x:c r="C329" s="89" t="str">
        <x:v>Passed</x:v>
      </x:c>
      <x:c r="D329" s="89" t="n">
        <x:v>5</x:v>
      </x:c>
      <x:c r="E329" s="89" t="str">
        <x:v>GET</x:v>
      </x:c>
      <x:c r="F329" s="89" t="str">
        <x:v>/api/v1/opportunities</x:v>
      </x:c>
      <x:c r="G329" s="90" t="str">
        <x:v>{"limit":100}</x:v>
      </x:c>
      <x:c r="H329" s="90" t="str">
        <x:v>null</x:v>
      </x:c>
      <x:c r="I329" s="90" t="n">
        <x:v>200</x:v>
      </x:c>
      <x:c r="J329" s="90" t="str">
        <x:v>{"items":[{"opportunity_id":2,"title":"Inventory spreadsheet cleanup","description":"Merge three years of supplier spreadsheets into one clean inventory sheet.","status":"open","category":{"code":"knowledge","name":"Knowledge-based","description":"Digital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Bakery","organization_type":"small_business","city":"Calgary"},"skills":[{"code":"data-cleaning","name":"Data cleaning"},{"code":"inventory","name":"Inventory management"},{"code":"spreadsheets","name":"Spreadsheets"}],"requirements":"Comfortable with spreadsheet formulas and removing duplicates.","location":null,"work_mode":"remote","start_date":"2026-11-10","end_date":"2026-11-24","expected_hours":12.0,"compensation_type":"stipend","compensation_amount":150.0,"compensation_details":"Stipend paid at completion.","applicant_limit":1,"application_deadline":"2026-11-05T23:59:59Z","working_conditions":"Fully remote, self-paced.","safety_information":"Remote work; take regular screen breaks.","accessibility_details":"Remote; any assistive technology you already use is fine.","published_at":"2026-10-05T16:00:00Z","created_at":"2026-10-05T15:00:00Z","updated_at":"2026-10-28T06:03:46Z"},{"opportunity_id":12,"title":"Event photographer for community fun run","description":"Photograph the start, finish and award ceremony of a 5 km community run.","status":"open","category":{"code":"communit… [truncated]</x:v>
      </x:c>
      <x:c r="K329" s="89" t="str">
        <x:v>Case duration 959 ms</x:v>
      </x:c>
    </x:row>
    <x:row r="330" ht="35" customHeight="1">
      <x:c r="A330" s="89" t="str">
        <x:v>PUB-002</x:v>
      </x:c>
      <x:c r="B330" s="89" t="str">
        <x:v>Publish Opportunity</x:v>
      </x:c>
      <x:c r="C330" s="89" t="str">
        <x:v>Passed</x:v>
      </x:c>
      <x:c r="D330" s="89" t="n">
        <x:v>1</x:v>
      </x:c>
      <x:c r="E330" s="89" t="str">
        <x:v>POST</x:v>
      </x:c>
      <x:c r="F330" s="89" t="str">
        <x:v>/api/v1/auth/login</x:v>
      </x:c>
      <x:c r="G330" s="90" t="str">
        <x:v>null</x:v>
      </x:c>
      <x:c r="H330" s="90" t="str">
        <x:v>{"email":"maple.bakery@grow8.dev","password":"&lt;redacted&gt;"}</x:v>
      </x:c>
      <x:c r="I330" s="90" t="n">
        <x:v>200</x:v>
      </x:c>
      <x:c r="J330" s="90" t="str">
        <x:v>{"access_token":"&lt;redacted&gt;","token_type":"bearer","expires_in":3600,"user":{"user_id":2,"email":"maple.bakery@grow8.dev","full_name":"Priya Nair","role":"creator"}}</x:v>
      </x:c>
      <x:c r="K330" s="89" t="str"/>
    </x:row>
    <x:row r="331" ht="35" customHeight="1">
      <x:c r="A331" s="89" t="str">
        <x:v>PUB-002</x:v>
      </x:c>
      <x:c r="B331" s="89" t="str">
        <x:v>Publish Opportunity</x:v>
      </x:c>
      <x:c r="C331" s="89" t="str">
        <x:v>Passed</x:v>
      </x:c>
      <x:c r="D331" s="89" t="n">
        <x:v>2</x:v>
      </x:c>
      <x:c r="E331" s="89" t="str">
        <x:v>POST</x:v>
      </x:c>
      <x:c r="F331" s="89" t="str">
        <x:v>/api/v1/opportunities/14/publish</x:v>
      </x:c>
      <x:c r="G331" s="90" t="str">
        <x:v>null</x:v>
      </x:c>
      <x:c r="H331" s="90" t="str">
        <x:v>null</x:v>
      </x:c>
      <x:c r="I331" s="90" t="n">
        <x:v>422</x:v>
      </x:c>
      <x:c r="J331" s="90" t="str">
        <x:v>{"error":{"code":"OPPORTUNITY_INCOMPLETE","message":"Opportunity is missing mandatory information","details":{"missing_fields":["requirements","start_date","end_date","application_deadline","working_conditions","safety_information","accessibility_details","compensation_amount"]}}}</x:v>
      </x:c>
      <x:c r="K331" s="89" t="str"/>
    </x:row>
    <x:row r="332" ht="35" customHeight="1">
      <x:c r="A332" s="89" t="str">
        <x:v>PUB-002</x:v>
      </x:c>
      <x:c r="B332" s="89" t="str">
        <x:v>Publish Opportunity</x:v>
      </x:c>
      <x:c r="C332" s="89" t="str">
        <x:v>Passed</x:v>
      </x:c>
      <x:c r="D332" s="89" t="n">
        <x:v>3</x:v>
      </x:c>
      <x:c r="E332" s="89" t="str">
        <x:v>GET</x:v>
      </x:c>
      <x:c r="F332" s="89" t="str">
        <x:v>/api/v1/opportunities/14</x:v>
      </x:c>
      <x:c r="G332" s="90" t="str">
        <x:v>null</x:v>
      </x:c>
      <x:c r="H332" s="90" t="str">
        <x:v>null</x:v>
      </x:c>
      <x:c r="I332" s="90" t="n">
        <x:v>200</x:v>
      </x:c>
      <x:c r="J332" s="90" t="str">
        <x:v>{"opportunity_id":14,"title":"Point-of-sale menu photo shoot","description":"Photograph our menu items for the new point-of-sale screens.","status":"draft","category":{"code":"knowledge","name":"Knowledge-based","description":"Digital support, data organization, record digitization and similar tasks."},"organization":{"organization_id":1,"name":"Maple Street Bakery","organization_type":"small_business","city":"Calgary"},"skills":[{"code":"photography","name":"Photography"}],"requirements":null,"location":"Calgary (Kensington)","work_mode":"on_site","start_date":null,"end_date":null,"expected_hours":6.0,"compensation_type":"paid","compensation_amount":null,"compensation_details":null,"applicant_limit":1,"application_deadline":null,"working_conditions":null,"safety_information":null,"accessibility_details":null,"published_at":null,"created_at":"2026-10-13T15:00:00Z","updated_at":"2026-10-28T06:03:47Z"}</x:v>
      </x:c>
      <x:c r="K332" s="89" t="str">
        <x:v>Case duration 732 ms</x:v>
      </x:c>
    </x:row>
    <x:row r="333" ht="35" customHeight="1">
      <x:c r="A333" s="89" t="str">
        <x:v>PUB-003</x:v>
      </x:c>
      <x:c r="B333" s="89" t="str">
        <x:v>Publish Opportunity</x:v>
      </x:c>
      <x:c r="C333" s="89" t="str">
        <x:v>Passed</x:v>
      </x:c>
      <x:c r="D333" s="89" t="n">
        <x:v>1</x:v>
      </x:c>
      <x:c r="E333" s="89" t="str">
        <x:v>POST</x:v>
      </x:c>
      <x:c r="F333" s="89" t="str">
        <x:v>/api/v1/auth/login</x:v>
      </x:c>
      <x:c r="G333" s="90" t="str">
        <x:v>null</x:v>
      </x:c>
      <x:c r="H333" s="90" t="str">
        <x:v>{"email":"maple.bakery@grow8.dev","password":"&lt;redacted&gt;"}</x:v>
      </x:c>
      <x:c r="I333" s="90" t="n">
        <x:v>200</x:v>
      </x:c>
      <x:c r="J333" s="90" t="str">
        <x:v>{"access_token":"&lt;redacted&gt;","token_type":"bearer","expires_in":3600,"user":{"user_id":2,"email":"maple.bakery@grow8.dev","full_name":"Priya Nair","role":"creator"}}</x:v>
      </x:c>
      <x:c r="K333" s="89" t="str"/>
    </x:row>
    <x:row r="334" ht="35" customHeight="1">
      <x:c r="A334" s="89" t="str">
        <x:v>PUB-003</x:v>
      </x:c>
      <x:c r="B334" s="89" t="str">
        <x:v>Publish Opportunity</x:v>
      </x:c>
      <x:c r="C334" s="89" t="str">
        <x:v>Passed</x:v>
      </x:c>
      <x:c r="D334" s="89" t="n">
        <x:v>2</x:v>
      </x:c>
      <x:c r="E334" s="89" t="str">
        <x:v>POST</x:v>
      </x:c>
      <x:c r="F334" s="89" t="str">
        <x:v>/api/v1/opportunities</x:v>
      </x:c>
      <x:c r="G334" s="90" t="str">
        <x:v>null</x:v>
      </x:c>
      <x:c r="H334" s="90" t="str">
        <x:v>{"title":"Approved QA Inventory Project","description":"Record and organize donated inventory for the team.","category":"community","skills":["inventory","spreadsheets"],"requirements":"Attention to detail","location":"Calgary","work_mode":"remote","start_date":"2027-03-01","end_date":"2027-03-20","expected_hours":8,"compensation_type":"paid","compensation_amount":null,"compensation_details":"Fixed honorarium","applicant_limit":3,"application_deadline":"2027-02-15T23:59:00-07:00","working_conditions":"Flexible daytime hours","safety_information":"Remote work with normal computer precautions","accessibility_details":"Flexible scheduling and screen-reader-friendly records"}</x:v>
      </x:c>
      <x:c r="I334" s="90" t="n">
        <x:v>201</x:v>
      </x:c>
      <x:c r="J334" s="90" t="str">
        <x:v>{"opportunity_id":32,"title":"Approved QA Inventory Project","description":"Record and organize donated inventory for the team.","status":"draft","category":{"code":"community","name":"Community","description":"Physical tasks, community activities and event-based support."},"organization":{"organization_id":1,"name":"Maple Street Bakery","organization_type":"small_business","city":"Calgary"},"skills":[{"code":"inventory","name":"Inventory management"},{"code":"spreadsheets","name":"Spreadsheets"}],"requirements":"Attention to detail","location":"Calgary","work_mode":"remote","start_date":"2027-03-01","end_date":"2027-03-20","expected_hours":8.0,"compensation_type":"paid","compensation_amount":null,"compensation_details":"Fixed honorarium","applicant_limit":3,"application_deadline":"2027-02-16T06:59:00Z","working_conditions":"Flexible daytime hours","safety_information":"Remote work with normal computer precautions","accessibility_details":"Flexible scheduling and screen-reader-friendly records","published_at":null,"created_at":"2026-10-28T06:03:48Z","updated_at":"2026-10-28T06:03:48Z"}</x:v>
      </x:c>
      <x:c r="K334" s="89" t="str"/>
    </x:row>
    <x:row r="335" ht="35" customHeight="1">
      <x:c r="A335" s="89" t="str">
        <x:v>PUB-003</x:v>
      </x:c>
      <x:c r="B335" s="89" t="str">
        <x:v>Publish Opportunity</x:v>
      </x:c>
      <x:c r="C335" s="89" t="str">
        <x:v>Passed</x:v>
      </x:c>
      <x:c r="D335" s="89" t="n">
        <x:v>3</x:v>
      </x:c>
      <x:c r="E335" s="89" t="str">
        <x:v>POST</x:v>
      </x:c>
      <x:c r="F335" s="89" t="str">
        <x:v>/api/v1/opportunities/32/publish</x:v>
      </x:c>
      <x:c r="G335" s="90" t="str">
        <x:v>null</x:v>
      </x:c>
      <x:c r="H335" s="90" t="str">
        <x:v>null</x:v>
      </x:c>
      <x:c r="I335" s="90" t="n">
        <x:v>422</x:v>
      </x:c>
      <x:c r="J335" s="90" t="str">
        <x:v>{"error":{"code":"OPPORTUNITY_INCOMPLETE","message":"Opportunity is missing mandatory information","details":{"missing_fields":["compensation_amount"]}}}</x:v>
      </x:c>
      <x:c r="K335" s="89" t="str"/>
    </x:row>
    <x:row r="336" ht="35" customHeight="1">
      <x:c r="A336" s="89" t="str">
        <x:v>PUB-003</x:v>
      </x:c>
      <x:c r="B336" s="89" t="str">
        <x:v>Publish Opportunity</x:v>
      </x:c>
      <x:c r="C336" s="89" t="str">
        <x:v>Passed</x:v>
      </x:c>
      <x:c r="D336" s="89" t="n">
        <x:v>4</x:v>
      </x:c>
      <x:c r="E336" s="89" t="str">
        <x:v>POST</x:v>
      </x:c>
      <x:c r="F336" s="89" t="str">
        <x:v>/api/v1/opportunities</x:v>
      </x:c>
      <x:c r="G336" s="90" t="str">
        <x:v>null</x:v>
      </x:c>
      <x:c r="H336" s="90" t="str">
        <x:v>{"title":"Approved QA Inventory Project","description":"Record and organize donated inventory for the team.","category":"community","skills":["inventory","spreadsheets"],"requirements":"Attention to detail","location":"Calgary","work_mode":"remote","start_date":"2027-03-01","end_date":"2027-03-20","expected_hours":8,"compensation_type":"stipend","compensation_amount":null,"compensation_details":"Fixed honorarium","applicant_limit":3,"application_deadline":"2027-02-15T23:59:00-07:00","working_conditions":"Flexible daytime hours","safety_information":"Remote work with normal computer precautions","accessibility_details":"Flexible scheduling and screen-reader-friendly records"}</x:v>
      </x:c>
      <x:c r="I336" s="90" t="n">
        <x:v>201</x:v>
      </x:c>
      <x:c r="J336" s="90" t="str">
        <x:v>{"opportunity_id":33,"title":"Approved QA Inventory Project","description":"Record and organize donated inventory for the team.","status":"draft","category":{"code":"community","name":"Community","description":"Physical tasks, community activities and event-based support."},"organization":{"organization_id":1,"name":"Maple Street Bakery","organization_type":"small_business","city":"Calgary"},"skills":[{"code":"inventory","name":"Inventory management"},{"code":"spreadsheets","name":"Spreadsheets"}],"requirements":"Attention to detail","location":"Calgary","work_mode":"remote","start_date":"2027-03-01","end_date":"2027-03-20","expected_hours":8.0,"compensation_type":"stipend","compensation_amount":null,"compensation_details":"Fixed honorarium","applicant_limit":3,"application_deadline":"2027-02-16T06:59:00Z","working_conditions":"Flexible daytime hours","safety_information":"Remote work with normal computer precautions","accessibility_details":"Flexible scheduling and screen-reader-friendly records","published_at":null,"created_at":"2026-10-28T06:03:48Z","updated_at":"2026-10-28T06:03:48Z"}</x:v>
      </x:c>
      <x:c r="K336" s="89" t="str"/>
    </x:row>
    <x:row r="337" ht="35" customHeight="1">
      <x:c r="A337" s="89" t="str">
        <x:v>PUB-003</x:v>
      </x:c>
      <x:c r="B337" s="89" t="str">
        <x:v>Publish Opportunity</x:v>
      </x:c>
      <x:c r="C337" s="89" t="str">
        <x:v>Passed</x:v>
      </x:c>
      <x:c r="D337" s="89" t="n">
        <x:v>5</x:v>
      </x:c>
      <x:c r="E337" s="89" t="str">
        <x:v>POST</x:v>
      </x:c>
      <x:c r="F337" s="89" t="str">
        <x:v>/api/v1/opportunities/33/publish</x:v>
      </x:c>
      <x:c r="G337" s="90" t="str">
        <x:v>null</x:v>
      </x:c>
      <x:c r="H337" s="90" t="str">
        <x:v>null</x:v>
      </x:c>
      <x:c r="I337" s="90" t="n">
        <x:v>422</x:v>
      </x:c>
      <x:c r="J337" s="90" t="str">
        <x:v>{"error":{"code":"OPPORTUNITY_INCOMPLETE","message":"Opportunity is missing mandatory information","details":{"missing_fields":["compensation_amount"]}}}</x:v>
      </x:c>
      <x:c r="K337" s="89" t="str">
        <x:v>Case duration 00:00:01</x:v>
      </x:c>
    </x:row>
    <x:row r="338" ht="35" customHeight="1">
      <x:c r="A338" s="89" t="str">
        <x:v>PUB-004</x:v>
      </x:c>
      <x:c r="B338" s="89" t="str">
        <x:v>Publish Opportunity</x:v>
      </x:c>
      <x:c r="C338" s="89" t="str">
        <x:v>Passed</x:v>
      </x:c>
      <x:c r="D338" s="89" t="n">
        <x:v>1</x:v>
      </x:c>
      <x:c r="E338" s="89" t="str">
        <x:v>POST</x:v>
      </x:c>
      <x:c r="F338" s="89" t="str">
        <x:v>/api/v1/auth/login</x:v>
      </x:c>
      <x:c r="G338" s="90" t="str">
        <x:v>null</x:v>
      </x:c>
      <x:c r="H338" s="90" t="str">
        <x:v>{"email":"maple.bakery@grow8.dev","password":"&lt;redacted&gt;"}</x:v>
      </x:c>
      <x:c r="I338" s="90" t="n">
        <x:v>200</x:v>
      </x:c>
      <x:c r="J338" s="90" t="str">
        <x:v>{"access_token":"&lt;redacted&gt;","token_type":"bearer","expires_in":3600,"user":{"user_id":2,"email":"maple.bakery@grow8.dev","full_name":"Priya Nair","role":"creator"}}</x:v>
      </x:c>
      <x:c r="K338" s="89" t="str"/>
    </x:row>
    <x:row r="339" ht="35" customHeight="1">
      <x:c r="A339" s="89" t="str">
        <x:v>PUB-004</x:v>
      </x:c>
      <x:c r="B339" s="89" t="str">
        <x:v>Publish Opportunity</x:v>
      </x:c>
      <x:c r="C339" s="89" t="str">
        <x:v>Passed</x:v>
      </x:c>
      <x:c r="D339" s="89" t="n">
        <x:v>2</x:v>
      </x:c>
      <x:c r="E339" s="89" t="str">
        <x:v>POST</x:v>
      </x:c>
      <x:c r="F339" s="89" t="str">
        <x:v>/api/v1/opportunities</x:v>
      </x:c>
      <x:c r="G339" s="90" t="str">
        <x:v>null</x:v>
      </x:c>
      <x:c r="H339" s="90" t="str">
        <x:v>{"title":"Approved QA Inventory Project","description":"Record and organize donated inventory for the team.","category":"community","skills":["inventory","spreadsheets"],"requirements":"Attention to detail","location":"Calgary","work_mode":"remote","start_date":"2027-03-01","end_date":"2027-03-20","expected_hours":8,"compensation_type":"unpaid","compensation_amount":null,"compensation_details":"Fixed honorarium","applicant_limit":3,"application_deadline":"2027-02-15T23:59:00-07:00","working_conditions":"Flexible daytime hours","safety_information":"Remote work with normal computer precautions","accessibility_details":"Flexible scheduling and screen-reader-friendly records"}</x:v>
      </x:c>
      <x:c r="I339" s="90" t="n">
        <x:v>201</x:v>
      </x:c>
      <x:c r="J339" s="90" t="str">
        <x:v>{"opportunity_id":34,"title":"Approved QA Inventory Project","description":"Record and organize donated inventory for the team.","status":"draft","category":{"code":"community","name":"Community","description":"Physical tasks, community activities and event-based support."},"organization":{"organization_id":1,"name":"Maple Street Bakery","organization_type":"small_business","city":"Calgary"},"skills":[{"code":"inventory","name":"Inventory management"},{"code":"spreadsheets","name":"Spreadsheets"}],"requirements":"Attention to detail","location":"Calgary","work_mode":"remote","start_date":"2027-03-01","end_date":"2027-03-20","expected_hours":8.0,"compensation_type":"unpaid","compensation_amount":null,"compensation_details":"Fixed honorarium","applicant_limit":3,"application_deadline":"2027-02-16T06:59:00Z","working_conditions":"Flexible daytime hours","safety_information":"Remote work with normal computer precautions","accessibility_details":"Flexible scheduling and screen-reader-friendly records","published_at":null,"created_at":"2026-10-28T06:03:49Z","updated_at":"2026-10-28T06:03:49Z"}</x:v>
      </x:c>
      <x:c r="K339" s="89" t="str"/>
    </x:row>
    <x:row r="340" ht="35" customHeight="1">
      <x:c r="A340" s="89" t="str">
        <x:v>PUB-004</x:v>
      </x:c>
      <x:c r="B340" s="89" t="str">
        <x:v>Publish Opportunity</x:v>
      </x:c>
      <x:c r="C340" s="89" t="str">
        <x:v>Passed</x:v>
      </x:c>
      <x:c r="D340" s="89" t="n">
        <x:v>3</x:v>
      </x:c>
      <x:c r="E340" s="89" t="str">
        <x:v>POST</x:v>
      </x:c>
      <x:c r="F340" s="89" t="str">
        <x:v>/api/v1/opportunities/34/publish</x:v>
      </x:c>
      <x:c r="G340" s="90" t="str">
        <x:v>null</x:v>
      </x:c>
      <x:c r="H340" s="90" t="str">
        <x:v>null</x:v>
      </x:c>
      <x:c r="I340" s="90" t="n">
        <x:v>200</x:v>
      </x:c>
      <x:c r="J340" s="90" t="str">
        <x:v>{"opportunity_id":34,"title":"Approved QA Inventory Project","description":"Record and organize donated inventory for the team.","status":"open","category":{"code":"community","name":"Community","description":"Physical tasks, community activities and event-based support."},"organization":{"organization_id":1,"name":"Maple Street Bakery","organization_type":"small_business","city":"Calgary"},"skills":[{"code":"inventory","name":"Inventory management"},{"code":"spreadsheets","name":"Spreadsheets"}],"requirements":"Attention to detail","location":"Calgary","work_mode":"remote","start_date":"2027-03-01","end_date":"2027-03-20","expected_hours":8.0,"compensation_type":"unpaid","compensation_amount":null,"compensation_details":"Fixed honorarium","applicant_limit":3,"application_deadline":"2027-02-16T06:59:00Z","working_conditions":"Flexible daytime hours","safety_information":"Remote work with normal computer precautions","accessibility_details":"Flexible scheduling and screen-reader-friendly records","published_at":"2026-10-16T12:00:00Z","created_at":"2026-10-28T06:03:49Z","updated_at":"2026-10-28T06:03:49Z"}</x:v>
      </x:c>
      <x:c r="K340" s="89" t="str">
        <x:v>Case duration 837 ms</x:v>
      </x:c>
    </x:row>
    <x:row r="341" ht="35" customHeight="1">
      <x:c r="A341" s="89" t="str">
        <x:v>PUB-005</x:v>
      </x:c>
      <x:c r="B341" s="89" t="str">
        <x:v>Publish Opportunity</x:v>
      </x:c>
      <x:c r="C341" s="89" t="str">
        <x:v>Passed</x:v>
      </x:c>
      <x:c r="D341" s="89" t="n">
        <x:v>1</x:v>
      </x:c>
      <x:c r="E341" s="89" t="str">
        <x:v>POST</x:v>
      </x:c>
      <x:c r="F341" s="89" t="str">
        <x:v>/api/v1/auth/login</x:v>
      </x:c>
      <x:c r="G341" s="90" t="str">
        <x:v>null</x:v>
      </x:c>
      <x:c r="H341" s="90" t="str">
        <x:v>{"email":"maple.bakery@grow8.dev","password":"&lt;redacted&gt;"}</x:v>
      </x:c>
      <x:c r="I341" s="90" t="n">
        <x:v>200</x:v>
      </x:c>
      <x:c r="J341" s="90" t="str">
        <x:v>{"access_token":"&lt;redacted&gt;","token_type":"bearer","expires_in":3600,"user":{"user_id":2,"email":"maple.bakery@grow8.dev","full_name":"Priya Nair","role":"creator"}}</x:v>
      </x:c>
      <x:c r="K341" s="89" t="str"/>
    </x:row>
    <x:row r="342" ht="35" customHeight="1">
      <x:c r="A342" s="89" t="str">
        <x:v>PUB-005</x:v>
      </x:c>
      <x:c r="B342" s="89" t="str">
        <x:v>Publish Opportunity</x:v>
      </x:c>
      <x:c r="C342" s="89" t="str">
        <x:v>Passed</x:v>
      </x:c>
      <x:c r="D342" s="89" t="n">
        <x:v>2</x:v>
      </x:c>
      <x:c r="E342" s="89" t="str">
        <x:v>POST</x:v>
      </x:c>
      <x:c r="F342" s="89" t="str">
        <x:v>/api/v1/opportunities</x:v>
      </x:c>
      <x:c r="G342" s="90" t="str">
        <x:v>null</x:v>
      </x:c>
      <x:c r="H342" s="90" t="str">
        <x:v>{"title":"Approved QA Inventory Project","description":"Record and organize donated inventory for the team.","category":"community","skills":["inventory","spreadsheets"],"requirements":"Attention to detail","location":"Calgary","work_mode":"remote","start_date":"2027-03-01","end_date":"2027-03-20","expected_hours":8,"compensation_type":"paid","compensation_amount":160,"compensation_details":"Fixed honorarium","applicant_limit":3,"application_deadline":"2026-10-01T00:00:00Z","working_conditions":"Flexible daytime hours","safety_information":"Remote work with normal computer precautions","accessibility_details":"Flexible scheduling and screen-reader-friendly records"}</x:v>
      </x:c>
      <x:c r="I342" s="90" t="n">
        <x:v>201</x:v>
      </x:c>
      <x:c r="J342" s="90" t="str">
        <x:v>{"opportunity_id":35,"title":"Approved QA Inventory Project","description":"Record and organize donated inventory for the team.","status":"draft","category":{"code":"community","name":"Community","description":"Physical tasks, community activities and event-based support."},"organization":{"organization_id":1,"name":"Maple Street Bakery","organization_type":"small_business","city":"Calgary"},"skills":[{"code":"inventory","name":"Inventory management"},{"code":"spreadsheets","name":"Spreadsheets"}],"requirements":"Attention to detail","location":"Calgary","work_mode":"remote","start_date":"2027-03-01","end_date":"2027-03-20","expected_hours":8.0,"compensation_type":"paid","compensation_amount":160.0,"compensation_details":"Fixed honorarium","applicant_limit":3,"application_deadline":"2026-10-01T00:00:00Z","working_conditions":"Flexible daytime hours","safety_information":"Remote work with normal computer precautions","accessibility_details":"Flexible scheduling and screen-reader-friendly records","published_at":null,"created_at":"2026-10-28T06:03:49Z","updated_at":"2026-10-28T06:03:49Z"}</x:v>
      </x:c>
      <x:c r="K342" s="89" t="str"/>
    </x:row>
    <x:row r="343" ht="35" customHeight="1">
      <x:c r="A343" s="89" t="str">
        <x:v>PUB-005</x:v>
      </x:c>
      <x:c r="B343" s="89" t="str">
        <x:v>Publish Opportunity</x:v>
      </x:c>
      <x:c r="C343" s="89" t="str">
        <x:v>Passed</x:v>
      </x:c>
      <x:c r="D343" s="89" t="n">
        <x:v>3</x:v>
      </x:c>
      <x:c r="E343" s="89" t="str">
        <x:v>POST</x:v>
      </x:c>
      <x:c r="F343" s="89" t="str">
        <x:v>/api/v1/opportunities/35/publish</x:v>
      </x:c>
      <x:c r="G343" s="90" t="str">
        <x:v>null</x:v>
      </x:c>
      <x:c r="H343" s="90" t="str">
        <x:v>null</x:v>
      </x:c>
      <x:c r="I343" s="90" t="n">
        <x:v>422</x:v>
      </x:c>
      <x:c r="J343" s="90" t="str">
        <x:v>{"error":{"code":"DEADLINE_PASSED","message":"application_deadline must be in the future"}}</x:v>
      </x:c>
      <x:c r="K343" s="89" t="str"/>
    </x:row>
    <x:row r="344" ht="35" customHeight="1">
      <x:c r="A344" s="89" t="str">
        <x:v>PUB-005</x:v>
      </x:c>
      <x:c r="B344" s="89" t="str">
        <x:v>Publish Opportunity</x:v>
      </x:c>
      <x:c r="C344" s="89" t="str">
        <x:v>Passed</x:v>
      </x:c>
      <x:c r="D344" s="89" t="n">
        <x:v>4</x:v>
      </x:c>
      <x:c r="E344" s="89" t="str">
        <x:v>GET</x:v>
      </x:c>
      <x:c r="F344" s="89" t="str">
        <x:v>/api/v1/opportunities/35</x:v>
      </x:c>
      <x:c r="G344" s="90" t="str">
        <x:v>null</x:v>
      </x:c>
      <x:c r="H344" s="90" t="str">
        <x:v>null</x:v>
      </x:c>
      <x:c r="I344" s="90" t="n">
        <x:v>200</x:v>
      </x:c>
      <x:c r="J344" s="90" t="str">
        <x:v>{"opportunity_id":35,"title":"Approved QA Inventory Project","description":"Record and organize donated inventory for the team.","status":"draft","category":{"code":"community","name":"Community","description":"Physical tasks, community activities and event-based support."},"organization":{"organization_id":1,"name":"Maple Street Bakery","organization_type":"small_business","city":"Calgary"},"skills":[{"code":"inventory","name":"Inventory management"},{"code":"spreadsheets","name":"Spreadsheets"}],"requirements":"Attention to detail","location":"Calgary","work_mode":"remote","start_date":"2027-03-01","end_date":"2027-03-20","expected_hours":8.0,"compensation_type":"paid","compensation_amount":160.0,"compensation_details":"Fixed honorarium","applicant_limit":3,"application_deadline":"2026-10-01T00:00:00Z","working_conditions":"Flexible daytime hours","safety_information":"Remote work with normal computer precautions","accessibility_details":"Flexible scheduling and screen-reader-friendly records","published_at":null,"created_at":"2026-10-28T06:03:49Z","updated_at":"2026-10-28T06:03:49Z"}</x:v>
      </x:c>
      <x:c r="K344" s="89" t="str">
        <x:v>Case duration 770 ms</x:v>
      </x:c>
    </x:row>
    <x:row r="345" ht="35" customHeight="1">
      <x:c r="A345" s="89" t="str">
        <x:v>PUB-006</x:v>
      </x:c>
      <x:c r="B345" s="89" t="str">
        <x:v>Publish Opportunity</x:v>
      </x:c>
      <x:c r="C345" s="89" t="str">
        <x:v>Passed</x:v>
      </x:c>
      <x:c r="D345" s="89" t="n">
        <x:v>1</x:v>
      </x:c>
      <x:c r="E345" s="89" t="str">
        <x:v>POST</x:v>
      </x:c>
      <x:c r="F345" s="89" t="str">
        <x:v>/api/v1/auth/login</x:v>
      </x:c>
      <x:c r="G345" s="90" t="str">
        <x:v>null</x:v>
      </x:c>
      <x:c r="H345" s="90" t="str">
        <x:v>{"email":"maple.bakery@grow8.dev","password":"&lt;redacted&gt;"}</x:v>
      </x:c>
      <x:c r="I345" s="90" t="n">
        <x:v>200</x:v>
      </x:c>
      <x:c r="J345" s="90" t="str">
        <x:v>{"access_token":"&lt;redacted&gt;","token_type":"bearer","expires_in":3600,"user":{"user_id":2,"email":"maple.bakery@grow8.dev","full_name":"Priya Nair","role":"creator"}}</x:v>
      </x:c>
      <x:c r="K345" s="89" t="str"/>
    </x:row>
    <x:row r="346" ht="35" customHeight="1">
      <x:c r="A346" s="89" t="str">
        <x:v>PUB-006</x:v>
      </x:c>
      <x:c r="B346" s="89" t="str">
        <x:v>Publish Opportunity</x:v>
      </x:c>
      <x:c r="C346" s="89" t="str">
        <x:v>Passed</x:v>
      </x:c>
      <x:c r="D346" s="89" t="n">
        <x:v>2</x:v>
      </x:c>
      <x:c r="E346" s="89" t="str">
        <x:v>POST</x:v>
      </x:c>
      <x:c r="F346" s="89" t="str">
        <x:v>/api/v1/opportunities/14/publish</x:v>
      </x:c>
      <x:c r="G346" s="90" t="str">
        <x:v>null</x:v>
      </x:c>
      <x:c r="H346" s="90" t="str">
        <x:v>null</x:v>
      </x:c>
      <x:c r="I346" s="90" t="n">
        <x:v>401</x:v>
      </x:c>
      <x:c r="J346" s="90" t="str">
        <x:v>{"error":{"code":"AUTH_REQUIRED","message":"Authentication required"}}</x:v>
      </x:c>
      <x:c r="K346" s="89" t="str">
        <x:v>Case duration 610 ms</x:v>
      </x:c>
    </x:row>
    <x:row r="347" ht="35" customHeight="1">
      <x:c r="A347" s="89" t="str">
        <x:v>PUB-007</x:v>
      </x:c>
      <x:c r="B347" s="89" t="str">
        <x:v>Publish Opportunity</x:v>
      </x:c>
      <x:c r="C347" s="89" t="str">
        <x:v>Passed</x:v>
      </x:c>
      <x:c r="D347" s="89" t="n">
        <x:v>1</x:v>
      </x:c>
      <x:c r="E347" s="89" t="str">
        <x:v>POST</x:v>
      </x:c>
      <x:c r="F347" s="89" t="str">
        <x:v>/api/v1/auth/login</x:v>
      </x:c>
      <x:c r="G347" s="90" t="str">
        <x:v>null</x:v>
      </x:c>
      <x:c r="H347" s="90" t="str">
        <x:v>{"email":"maple.bakery@grow8.dev","password":"&lt;redacted&gt;"}</x:v>
      </x:c>
      <x:c r="I347" s="90" t="n">
        <x:v>200</x:v>
      </x:c>
      <x:c r="J347" s="90" t="str">
        <x:v>{"access_token":"&lt;redacted&gt;","token_type":"bearer","expires_in":3600,"user":{"user_id":2,"email":"maple.bakery@grow8.dev","full_name":"Priya Nair","role":"creator"}}</x:v>
      </x:c>
      <x:c r="K347" s="89" t="str"/>
    </x:row>
    <x:row r="348" ht="35" customHeight="1">
      <x:c r="A348" s="89" t="str">
        <x:v>PUB-007</x:v>
      </x:c>
      <x:c r="B348" s="89" t="str">
        <x:v>Publish Opportunity</x:v>
      </x:c>
      <x:c r="C348" s="89" t="str">
        <x:v>Passed</x:v>
      </x:c>
      <x:c r="D348" s="89" t="n">
        <x:v>2</x:v>
      </x:c>
      <x:c r="E348" s="89" t="str">
        <x:v>POST</x:v>
      </x:c>
      <x:c r="F348" s="89" t="str">
        <x:v>/api/v1/auth/login</x:v>
      </x:c>
      <x:c r="G348" s="90" t="str">
        <x:v>null</x:v>
      </x:c>
      <x:c r="H348" s="90" t="str">
        <x:v>{"email":"alex.chen@grow8.dev","password":"&lt;redacted&gt;"}</x:v>
      </x:c>
      <x:c r="I348" s="90" t="n">
        <x:v>200</x:v>
      </x:c>
      <x:c r="J348" s="90" t="str">
        <x:v>{"access_token":"&lt;redacted&gt;","token_type":"bearer","expires_in":3600,"user":{"user_id":5,"email":"alex.chen@grow8.dev","full_name":"Alex Chen","role":"contributor"}}</x:v>
      </x:c>
      <x:c r="K348" s="89" t="str"/>
    </x:row>
    <x:row r="349" ht="35" customHeight="1">
      <x:c r="A349" s="89" t="str">
        <x:v>PUB-007</x:v>
      </x:c>
      <x:c r="B349" s="89" t="str">
        <x:v>Publish Opportunity</x:v>
      </x:c>
      <x:c r="C349" s="89" t="str">
        <x:v>Passed</x:v>
      </x:c>
      <x:c r="D349" s="89" t="n">
        <x:v>3</x:v>
      </x:c>
      <x:c r="E349" s="89" t="str">
        <x:v>POST</x:v>
      </x:c>
      <x:c r="F349" s="89" t="str">
        <x:v>/api/v1/opportunities/14/publish</x:v>
      </x:c>
      <x:c r="G349" s="90" t="str">
        <x:v>null</x:v>
      </x:c>
      <x:c r="H349" s="90" t="str">
        <x:v>null</x:v>
      </x:c>
      <x:c r="I349" s="90" t="n">
        <x:v>403</x:v>
      </x:c>
      <x:c r="J349" s="90" t="str">
        <x:v>{"error":{"code":"ROLE_FORBIDDEN","message":"This action requires role: creator"}}</x:v>
      </x:c>
      <x:c r="K349" s="89" t="str"/>
    </x:row>
    <x:row r="350" ht="35" customHeight="1">
      <x:c r="A350" s="89" t="str">
        <x:v>PUB-007</x:v>
      </x:c>
      <x:c r="B350" s="89" t="str">
        <x:v>Publish Opportunity</x:v>
      </x:c>
      <x:c r="C350" s="89" t="str">
        <x:v>Passed</x:v>
      </x:c>
      <x:c r="D350" s="89" t="n">
        <x:v>4</x:v>
      </x:c>
      <x:c r="E350" s="89" t="str">
        <x:v>POST</x:v>
      </x:c>
      <x:c r="F350" s="89" t="str">
        <x:v>/api/v1/auth/login</x:v>
      </x:c>
      <x:c r="G350" s="90" t="str">
        <x:v>null</x:v>
      </x:c>
      <x:c r="H350" s="90" t="str">
        <x:v>{"email":"admin@grow8.dev","password":"&lt;redacted&gt;"}</x:v>
      </x:c>
      <x:c r="I350" s="90" t="n">
        <x:v>200</x:v>
      </x:c>
      <x:c r="J350" s="90" t="str">
        <x:v>{"access_token":"&lt;redacted&gt;","token_type":"bearer","expires_in":3600,"user":{"user_id":1,"email":"admin@grow8.dev","full_name":"Ada Admin","role":"admin"}}</x:v>
      </x:c>
      <x:c r="K350" s="89" t="str"/>
    </x:row>
    <x:row r="351" ht="35" customHeight="1">
      <x:c r="A351" s="89" t="str">
        <x:v>PUB-007</x:v>
      </x:c>
      <x:c r="B351" s="89" t="str">
        <x:v>Publish Opportunity</x:v>
      </x:c>
      <x:c r="C351" s="89" t="str">
        <x:v>Passed</x:v>
      </x:c>
      <x:c r="D351" s="89" t="n">
        <x:v>5</x:v>
      </x:c>
      <x:c r="E351" s="89" t="str">
        <x:v>POST</x:v>
      </x:c>
      <x:c r="F351" s="89" t="str">
        <x:v>/api/v1/opportunities/14/publish</x:v>
      </x:c>
      <x:c r="G351" s="90" t="str">
        <x:v>null</x:v>
      </x:c>
      <x:c r="H351" s="90" t="str">
        <x:v>null</x:v>
      </x:c>
      <x:c r="I351" s="90" t="n">
        <x:v>403</x:v>
      </x:c>
      <x:c r="J351" s="90" t="str">
        <x:v>{"error":{"code":"ROLE_FORBIDDEN","message":"This action requires role: creator"}}</x:v>
      </x:c>
      <x:c r="K351" s="89" t="str">
        <x:v>Case duration 00:00:01</x:v>
      </x:c>
    </x:row>
    <x:row r="352" ht="35" customHeight="1">
      <x:c r="A352" s="89" t="str">
        <x:v>PUB-008</x:v>
      </x:c>
      <x:c r="B352" s="89" t="str">
        <x:v>Publish Opportunity</x:v>
      </x:c>
      <x:c r="C352" s="89" t="str">
        <x:v>Passed</x:v>
      </x:c>
      <x:c r="D352" s="89" t="n">
        <x:v>1</x:v>
      </x:c>
      <x:c r="E352" s="89" t="str">
        <x:v>POST</x:v>
      </x:c>
      <x:c r="F352" s="89" t="str">
        <x:v>/api/v1/auth/login</x:v>
      </x:c>
      <x:c r="G352" s="90" t="str">
        <x:v>null</x:v>
      </x:c>
      <x:c r="H352" s="90" t="str">
        <x:v>{"email":"maple.bakery@grow8.dev","password":"&lt;redacted&gt;"}</x:v>
      </x:c>
      <x:c r="I352" s="90" t="n">
        <x:v>200</x:v>
      </x:c>
      <x:c r="J352" s="90" t="str">
        <x:v>{"access_token":"&lt;redacted&gt;","token_type":"bearer","expires_in":3600,"user":{"user_id":2,"email":"maple.bakery@grow8.dev","full_name":"Priya Nair","role":"creator"}}</x:v>
      </x:c>
      <x:c r="K352" s="89" t="str"/>
    </x:row>
    <x:row r="353" ht="35" customHeight="1">
      <x:c r="A353" s="89" t="str">
        <x:v>PUB-008</x:v>
      </x:c>
      <x:c r="B353" s="89" t="str">
        <x:v>Publish Opportunity</x:v>
      </x:c>
      <x:c r="C353" s="89" t="str">
        <x:v>Passed</x:v>
      </x:c>
      <x:c r="D353" s="89" t="n">
        <x:v>2</x:v>
      </x:c>
      <x:c r="E353" s="89" t="str">
        <x:v>POST</x:v>
      </x:c>
      <x:c r="F353" s="89" t="str">
        <x:v>/api/v1/auth/login</x:v>
      </x:c>
      <x:c r="G353" s="90" t="str">
        <x:v>null</x:v>
      </x:c>
      <x:c r="H353" s="90" t="str">
        <x:v>{"email":"yyc.events@grow8.dev","password":"&lt;redacted&gt;"}</x:v>
      </x:c>
      <x:c r="I353" s="90" t="n">
        <x:v>200</x:v>
      </x:c>
      <x:c r="J353" s="90" t="str">
        <x:v>{"access_token":"&lt;redacted&gt;","token_type":"bearer","expires_in":3600,"user":{"user_id":4,"email":"yyc.events@grow8.dev","full_name":"Sofia Martinez","role":"creator"}}</x:v>
      </x:c>
      <x:c r="K353" s="89" t="str"/>
    </x:row>
    <x:row r="354" ht="35" customHeight="1">
      <x:c r="A354" s="89" t="str">
        <x:v>PUB-008</x:v>
      </x:c>
      <x:c r="B354" s="89" t="str">
        <x:v>Publish Opportunity</x:v>
      </x:c>
      <x:c r="C354" s="89" t="str">
        <x:v>Passed</x:v>
      </x:c>
      <x:c r="D354" s="89" t="n">
        <x:v>3</x:v>
      </x:c>
      <x:c r="E354" s="89" t="str">
        <x:v>POST</x:v>
      </x:c>
      <x:c r="F354" s="89" t="str">
        <x:v>/api/v1/opportunities/14/publish</x:v>
      </x:c>
      <x:c r="G354" s="90" t="str">
        <x:v>null</x:v>
      </x:c>
      <x:c r="H354" s="90" t="str">
        <x:v>null</x:v>
      </x:c>
      <x:c r="I354" s="90" t="n">
        <x:v>404</x:v>
      </x:c>
      <x:c r="J354" s="90" t="str">
        <x:v>{"error":{"code":"OPPORTUNITY_NOT_FOUND","message":"Opportunity not found"}}</x:v>
      </x:c>
      <x:c r="K354" s="89" t="str">
        <x:v>Case duration 00:00:01</x:v>
      </x:c>
    </x:row>
    <x:row r="355" ht="35" customHeight="1">
      <x:c r="A355" s="89" t="str">
        <x:v>PUB-009</x:v>
      </x:c>
      <x:c r="B355" s="89" t="str">
        <x:v>Publish Opportunity</x:v>
      </x:c>
      <x:c r="C355" s="89" t="str">
        <x:v>Passed</x:v>
      </x:c>
      <x:c r="D355" s="89" t="n">
        <x:v>1</x:v>
      </x:c>
      <x:c r="E355" s="89" t="str">
        <x:v>POST</x:v>
      </x:c>
      <x:c r="F355" s="89" t="str">
        <x:v>/api/v1/auth/login</x:v>
      </x:c>
      <x:c r="G355" s="90" t="str">
        <x:v>null</x:v>
      </x:c>
      <x:c r="H355" s="90" t="str">
        <x:v>{"email":"maple.bakery@grow8.dev","password":"&lt;redacted&gt;"}</x:v>
      </x:c>
      <x:c r="I355" s="90" t="n">
        <x:v>200</x:v>
      </x:c>
      <x:c r="J355" s="90" t="str">
        <x:v>{"access_token":"&lt;redacted&gt;","token_type":"bearer","expires_in":3600,"user":{"user_id":2,"email":"maple.bakery@grow8.dev","full_name":"Priya Nair","role":"creator"}}</x:v>
      </x:c>
      <x:c r="K355" s="89" t="str"/>
    </x:row>
    <x:row r="356" ht="35" customHeight="1">
      <x:c r="A356" s="89" t="str">
        <x:v>PUB-009</x:v>
      </x:c>
      <x:c r="B356" s="89" t="str">
        <x:v>Publish Opportunity</x:v>
      </x:c>
      <x:c r="C356" s="89" t="str">
        <x:v>Passed</x:v>
      </x:c>
      <x:c r="D356" s="89" t="n">
        <x:v>2</x:v>
      </x:c>
      <x:c r="E356" s="89" t="str">
        <x:v>POST</x:v>
      </x:c>
      <x:c r="F356" s="89" t="str">
        <x:v>/api/v1/opportunities</x:v>
      </x:c>
      <x:c r="G356" s="90" t="str">
        <x:v>null</x:v>
      </x:c>
      <x:c r="H356" s="90" t="str">
        <x:v>{"title":"Approved QA Inventory Project","description":"Record and organize donated inventory for the team.","category":"community","skills":["inventory","spreadsheets"],"requirements":"Attention to detail","location":"Calgary","work_mode":"remote","start_date":"2027-03-01","end_date":"2027-03-20","expected_hours":8,"compensation_type":"paid","compensation_amount":160,"compensation_details":"Fixed honorarium","applicant_limit":3,"application_deadline":"2027-02-15T23:59:00-07:00","working_conditions":"Flexible daytime hours","safety_information":"Remote work with normal computer precautions","accessibility_details":"Flexible scheduling and screen-reader-friendly records"}</x:v>
      </x:c>
      <x:c r="I356" s="90" t="n">
        <x:v>201</x:v>
      </x:c>
      <x:c r="J356" s="90" t="str">
        <x:v>{"opportunity_id":36,"title":"Approved QA Inventory Project","description":"Record and organize donated inventory for the team.","status":"draft","category":{"code":"community","name":"Community","description":"Physical tasks, community activities and event-based support."},"organization":{"organization_id":1,"name":"Maple Street Bakery","organization_type":"small_business","city":"Calgary"},"skills":[{"code":"inventory","name":"Inventory management"},{"code":"spreadsheets","name":"Spreadsheets"}],"requirements":"Attention to detail","location":"Calgary","work_mode":"remote","start_date":"2027-03-01","end_date":"2027-03-20","expected_hours":8.0,"compensation_type":"paid","compensation_amount":160.0,"compensation_details":"Fixed honorarium","applicant_limit":3,"application_deadline":"2027-02-16T06:59:00Z","working_conditions":"Flexible daytime hours","safety_information":"Remote work with normal computer precautions","accessibility_details":"Flexible scheduling and screen-reader-friendly records","published_at":null,"created_at":"2026-10-28T06:03:54Z","updated_at":"2026-10-28T06:03:54Z"}</x:v>
      </x:c>
      <x:c r="K356" s="89" t="str"/>
    </x:row>
    <x:row r="357" ht="35" customHeight="1">
      <x:c r="A357" s="89" t="str">
        <x:v>PUB-009</x:v>
      </x:c>
      <x:c r="B357" s="89" t="str">
        <x:v>Publish Opportunity</x:v>
      </x:c>
      <x:c r="C357" s="89" t="str">
        <x:v>Passed</x:v>
      </x:c>
      <x:c r="D357" s="89" t="n">
        <x:v>3</x:v>
      </x:c>
      <x:c r="E357" s="89" t="str">
        <x:v>POST</x:v>
      </x:c>
      <x:c r="F357" s="89" t="str">
        <x:v>/api/v1/opportunities/36/publish</x:v>
      </x:c>
      <x:c r="G357" s="90" t="str">
        <x:v>null</x:v>
      </x:c>
      <x:c r="H357" s="90" t="str">
        <x:v>null</x:v>
      </x:c>
      <x:c r="I357" s="90" t="n">
        <x:v>200</x:v>
      </x:c>
      <x:c r="J357" s="90" t="str">
        <x:v>{"opportunity_id":36,"title":"Approved QA Inventory Project","description":"Record and organize donated inventory for the team.","status":"open","category":{"code":"community","name":"Community","description":"Physical tasks, community activities and event-based support."},"organization":{"organization_id":1,"name":"Maple Street Bakery","organization_type":"small_business","city":"Calgary"},"skills":[{"code":"inventory","name":"Inventory management"},{"code":"spreadsheets","name":"Spreadsheets"}],"requirements":"Attention to detail","location":"Calgary","work_mode":"remote","start_date":"2027-03-01","end_date":"2027-03-20","expected_hours":8.0,"compensation_type":"paid","compensation_amount":160.0,"compensation_details":"Fixed honorarium","applicant_limit":3,"application_deadline":"2027-02-16T06:59:00Z","working_conditions":"Flexible daytime hours","safety_information":"Remote work with normal computer precautions","accessibility_details":"Flexible scheduling and screen-reader-friendly records","published_at":"2026-10-16T12:00:00Z","created_at":"2026-10-28T06:03:54Z","updated_at":"2026-10-28T06:03:54Z"}</x:v>
      </x:c>
      <x:c r="K357" s="89" t="str"/>
    </x:row>
    <x:row r="358" ht="35" customHeight="1">
      <x:c r="A358" s="89" t="str">
        <x:v>PUB-009</x:v>
      </x:c>
      <x:c r="B358" s="89" t="str">
        <x:v>Publish Opportunity</x:v>
      </x:c>
      <x:c r="C358" s="89" t="str">
        <x:v>Passed</x:v>
      </x:c>
      <x:c r="D358" s="89" t="n">
        <x:v>4</x:v>
      </x:c>
      <x:c r="E358" s="89" t="str">
        <x:v>POST</x:v>
      </x:c>
      <x:c r="F358" s="89" t="str">
        <x:v>/api/v1/opportunities/36/publish</x:v>
      </x:c>
      <x:c r="G358" s="90" t="str">
        <x:v>null</x:v>
      </x:c>
      <x:c r="H358" s="90" t="str">
        <x:v>null</x:v>
      </x:c>
      <x:c r="I358" s="90" t="n">
        <x:v>409</x:v>
      </x:c>
      <x:c r="J358" s="90" t="str">
        <x:v>{"error":{"code":"OPPORTUNITY_NOT_DRAFT","message":"Only draft opportunities can be published"}}</x:v>
      </x:c>
      <x:c r="K358" s="89" t="str">
        <x:v>Case duration 00:00:01</x:v>
      </x:c>
    </x:row>
    <x:row r="359" ht="35" customHeight="1">
      <x:c r="A359" s="89" t="str">
        <x:v>PUB-010</x:v>
      </x:c>
      <x:c r="B359" s="89" t="str">
        <x:v>Publish Opportunity</x:v>
      </x:c>
      <x:c r="C359" s="89" t="str">
        <x:v>Passed</x:v>
      </x:c>
      <x:c r="D359" s="89" t="n">
        <x:v>1</x:v>
      </x:c>
      <x:c r="E359" s="89" t="str">
        <x:v>POST</x:v>
      </x:c>
      <x:c r="F359" s="89" t="str">
        <x:v>/api/v1/auth/login</x:v>
      </x:c>
      <x:c r="G359" s="90" t="str">
        <x:v>null</x:v>
      </x:c>
      <x:c r="H359" s="90" t="str">
        <x:v>{"email":"maple.bakery@grow8.dev","password":"&lt;redacted&gt;"}</x:v>
      </x:c>
      <x:c r="I359" s="90" t="n">
        <x:v>200</x:v>
      </x:c>
      <x:c r="J359" s="90" t="str">
        <x:v>{"access_token":"&lt;redacted&gt;","token_type":"bearer","expires_in":3600,"user":{"user_id":2,"email":"maple.bakery@grow8.dev","full_name":"Priya Nair","role":"creator"}}</x:v>
      </x:c>
      <x:c r="K359" s="89" t="str"/>
    </x:row>
    <x:row r="360" ht="35" customHeight="1">
      <x:c r="A360" s="89" t="str">
        <x:v>PUB-010</x:v>
      </x:c>
      <x:c r="B360" s="89" t="str">
        <x:v>Publish Opportunity</x:v>
      </x:c>
      <x:c r="C360" s="89" t="str">
        <x:v>Passed</x:v>
      </x:c>
      <x:c r="D360" s="89" t="n">
        <x:v>2</x:v>
      </x:c>
      <x:c r="E360" s="89" t="str">
        <x:v>POST</x:v>
      </x:c>
      <x:c r="F360" s="89" t="str">
        <x:v>/api/v1/opportunities/999999/publish</x:v>
      </x:c>
      <x:c r="G360" s="90" t="str">
        <x:v>null</x:v>
      </x:c>
      <x:c r="H360" s="90" t="str">
        <x:v>null</x:v>
      </x:c>
      <x:c r="I360" s="90" t="n">
        <x:v>404</x:v>
      </x:c>
      <x:c r="J360" s="90" t="str">
        <x:v>{"error":{"code":"OPPORTUNITY_NOT_FOUND","message":"Opportunity not found"}}</x:v>
      </x:c>
      <x:c r="K360" s="89" t="str">
        <x:v>Case duration 644 ms</x:v>
      </x:c>
    </x:row>
    <x:row r="361" ht="35" customHeight="1">
      <x:c r="A361" s="89" t="str">
        <x:v>NOTIF-001</x:v>
      </x:c>
      <x:c r="B361" s="89" t="str">
        <x:v>List Notifications</x:v>
      </x:c>
      <x:c r="C361" s="89" t="str">
        <x:v>Passed</x:v>
      </x:c>
      <x:c r="D361" s="89" t="n">
        <x:v>1</x:v>
      </x:c>
      <x:c r="E361" s="89" t="str">
        <x:v>POST</x:v>
      </x:c>
      <x:c r="F361" s="89" t="str">
        <x:v>/api/v1/auth/login</x:v>
      </x:c>
      <x:c r="G361" s="90" t="str">
        <x:v>null</x:v>
      </x:c>
      <x:c r="H361" s="90" t="str">
        <x:v>{"email":"alex.chen@grow8.dev","password":"&lt;redacted&gt;"}</x:v>
      </x:c>
      <x:c r="I361" s="90" t="n">
        <x:v>200</x:v>
      </x:c>
      <x:c r="J361" s="90" t="str">
        <x:v>{"access_token":"&lt;redacted&gt;","token_type":"bearer","expires_in":3600,"user":{"user_id":5,"email":"alex.chen@grow8.dev","full_name":"Alex Chen","role":"contributor"}}</x:v>
      </x:c>
      <x:c r="K361" s="89" t="str"/>
    </x:row>
    <x:row r="362" ht="35" customHeight="1">
      <x:c r="A362" s="89" t="str">
        <x:v>NOTIF-001</x:v>
      </x:c>
      <x:c r="B362" s="89" t="str">
        <x:v>List Notifications</x:v>
      </x:c>
      <x:c r="C362" s="89" t="str">
        <x:v>Passed</x:v>
      </x:c>
      <x:c r="D362" s="89" t="n">
        <x:v>2</x:v>
      </x:c>
      <x:c r="E362" s="89" t="str">
        <x:v>GET</x:v>
      </x:c>
      <x:c r="F362" s="89" t="str">
        <x:v>/api/v1/notifications</x:v>
      </x:c>
      <x:c r="G362" s="90" t="str">
        <x:v>null</x:v>
      </x:c>
      <x:c r="H362" s="90" t="str">
        <x:v>null</x:v>
      </x:c>
      <x:c r="I362" s="90" t="n">
        <x:v>200</x:v>
      </x:c>
      <x:c r="J362" s="90" t="str">
        <x:v>{"items":[{"notification_id":4,"notification_type":"opportunity_created","title":"newest","message":"QA fixture notification","opportunity_id":15,"read_at":null,"created_at":"2026-10-13T09:00:00Z","is_read":false},{"notification_id":3,"notification_type":"opportunity_created","title":"middle","message":"QA fixture notification","opportunity_id":15,"read_at":null,"created_at":"2026-10-12T09:00:00Z","is_read":false},{"notification_id":2,"notification_type":"opportunity_created","title":"read","message":"QA fixture notification","opportunity_id":15,"read_at":"2026-10-11T10:00:00Z","created_at":"2026-10-11T09:00:00Z","is_read":true},{"notification_id":1,"notification_type":"opportunity_created","title":"oldest","message":"QA fixture notification","opportunity_id":15,"read_at":null,"created_at":"2026-10-10T09:00:00Z","is_read":false}],"total":4,"limit":20,"offset":0}</x:v>
      </x:c>
      <x:c r="K362" s="89" t="str">
        <x:v>Case duration 661 ms</x:v>
      </x:c>
    </x:row>
    <x:row r="363" ht="35" customHeight="1">
      <x:c r="A363" s="89" t="str">
        <x:v>NOTIF-002</x:v>
      </x:c>
      <x:c r="B363" s="89" t="str">
        <x:v>List Notifications</x:v>
      </x:c>
      <x:c r="C363" s="89" t="str">
        <x:v>Passed</x:v>
      </x:c>
      <x:c r="D363" s="89" t="n">
        <x:v>1</x:v>
      </x:c>
      <x:c r="E363" s="89" t="str">
        <x:v>POST</x:v>
      </x:c>
      <x:c r="F363" s="89" t="str">
        <x:v>/api/v1/auth/login</x:v>
      </x:c>
      <x:c r="G363" s="90" t="str">
        <x:v>null</x:v>
      </x:c>
      <x:c r="H363" s="90" t="str">
        <x:v>{"email":"alex.chen@grow8.dev","password":"&lt;redacted&gt;"}</x:v>
      </x:c>
      <x:c r="I363" s="90" t="n">
        <x:v>200</x:v>
      </x:c>
      <x:c r="J363" s="90" t="str">
        <x:v>{"access_token":"&lt;redacted&gt;","token_type":"bearer","expires_in":3600,"user":{"user_id":5,"email":"alex.chen@grow8.dev","full_name":"Alex Chen","role":"contributor"}}</x:v>
      </x:c>
      <x:c r="K363" s="89" t="str"/>
    </x:row>
    <x:row r="364" ht="35" customHeight="1">
      <x:c r="A364" s="89" t="str">
        <x:v>NOTIF-002</x:v>
      </x:c>
      <x:c r="B364" s="89" t="str">
        <x:v>List Notifications</x:v>
      </x:c>
      <x:c r="C364" s="89" t="str">
        <x:v>Passed</x:v>
      </x:c>
      <x:c r="D364" s="89" t="n">
        <x:v>2</x:v>
      </x:c>
      <x:c r="E364" s="89" t="str">
        <x:v>POST</x:v>
      </x:c>
      <x:c r="F364" s="89" t="str">
        <x:v>/api/v1/auth/login</x:v>
      </x:c>
      <x:c r="G364" s="90" t="str">
        <x:v>null</x:v>
      </x:c>
      <x:c r="H364" s="90" t="str">
        <x:v>{"email":"yyc.events@grow8.dev","password":"&lt;redacted&gt;"}</x:v>
      </x:c>
      <x:c r="I364" s="90" t="n">
        <x:v>200</x:v>
      </x:c>
      <x:c r="J364" s="90" t="str">
        <x:v>{"access_token":"&lt;redacted&gt;","token_type":"bearer","expires_in":3600,"user":{"user_id":4,"email":"yyc.events@grow8.dev","full_name":"Sofia Martinez","role":"creator"}}</x:v>
      </x:c>
      <x:c r="K364" s="89" t="str"/>
    </x:row>
    <x:row r="365" ht="35" customHeight="1">
      <x:c r="A365" s="89" t="str">
        <x:v>NOTIF-002</x:v>
      </x:c>
      <x:c r="B365" s="89" t="str">
        <x:v>List Notifications</x:v>
      </x:c>
      <x:c r="C365" s="89" t="str">
        <x:v>Passed</x:v>
      </x:c>
      <x:c r="D365" s="89" t="n">
        <x:v>3</x:v>
      </x:c>
      <x:c r="E365" s="89" t="str">
        <x:v>GET</x:v>
      </x:c>
      <x:c r="F365" s="89" t="str">
        <x:v>/api/v1/notifications</x:v>
      </x:c>
      <x:c r="G365" s="90" t="str">
        <x:v>null</x:v>
      </x:c>
      <x:c r="H365" s="90" t="str">
        <x:v>null</x:v>
      </x:c>
      <x:c r="I365" s="90" t="n">
        <x:v>200</x:v>
      </x:c>
      <x:c r="J365" s="90" t="str">
        <x:v>{"items":[{"notification_id":11,"notification_type":"opportunity_created","title":"sofia","message":"QA fixture notification","opportunity_id":15,"read_at":null,"created_at":"2026-10-13T09:00:00Z","is_read":false}],"total":1,"limit":20,"offset":0}</x:v>
      </x:c>
      <x:c r="K365" s="89" t="str"/>
    </x:row>
    <x:row r="366" ht="35" customHeight="1">
      <x:c r="A366" s="89" t="str">
        <x:v>NOTIF-002</x:v>
      </x:c>
      <x:c r="B366" s="89" t="str">
        <x:v>List Notifications</x:v>
      </x:c>
      <x:c r="C366" s="89" t="str">
        <x:v>Passed</x:v>
      </x:c>
      <x:c r="D366" s="89" t="n">
        <x:v>4</x:v>
      </x:c>
      <x:c r="E366" s="89" t="str">
        <x:v>POST</x:v>
      </x:c>
      <x:c r="F366" s="89" t="str">
        <x:v>/api/v1/auth/login</x:v>
      </x:c>
      <x:c r="G366" s="90" t="str">
        <x:v>null</x:v>
      </x:c>
      <x:c r="H366" s="90" t="str">
        <x:v>{"email":"admin@grow8.dev","password":"&lt;redacted&gt;"}</x:v>
      </x:c>
      <x:c r="I366" s="90" t="n">
        <x:v>200</x:v>
      </x:c>
      <x:c r="J366" s="90" t="str">
        <x:v>{"access_token":"&lt;redacted&gt;","token_type":"bearer","expires_in":3600,"user":{"user_id":1,"email":"admin@grow8.dev","full_name":"Ada Admin","role":"admin"}}</x:v>
      </x:c>
      <x:c r="K366" s="89" t="str"/>
    </x:row>
    <x:row r="367" ht="35" customHeight="1">
      <x:c r="A367" s="89" t="str">
        <x:v>NOTIF-002</x:v>
      </x:c>
      <x:c r="B367" s="89" t="str">
        <x:v>List Notifications</x:v>
      </x:c>
      <x:c r="C367" s="89" t="str">
        <x:v>Passed</x:v>
      </x:c>
      <x:c r="D367" s="89" t="n">
        <x:v>5</x:v>
      </x:c>
      <x:c r="E367" s="89" t="str">
        <x:v>GET</x:v>
      </x:c>
      <x:c r="F367" s="89" t="str">
        <x:v>/api/v1/notifications</x:v>
      </x:c>
      <x:c r="G367" s="90" t="str">
        <x:v>null</x:v>
      </x:c>
      <x:c r="H367" s="90" t="str">
        <x:v>null</x:v>
      </x:c>
      <x:c r="I367" s="90" t="n">
        <x:v>200</x:v>
      </x:c>
      <x:c r="J367" s="90" t="str">
        <x:v>{"items":[{"notification_id":12,"notification_type":"opportunity_created","title":"admin","message":"QA fixture notification","opportunity_id":15,"read_at":null,"created_at":"2026-10-13T09:00:00Z","is_read":false}],"total":1,"limit":20,"offset":0}</x:v>
      </x:c>
      <x:c r="K367" s="89" t="str">
        <x:v>Case duration 00:00:01</x:v>
      </x:c>
    </x:row>
    <x:row r="368" ht="35" customHeight="1">
      <x:c r="A368" s="89" t="str">
        <x:v>NOTIF-003</x:v>
      </x:c>
      <x:c r="B368" s="89" t="str">
        <x:v>List Notifications</x:v>
      </x:c>
      <x:c r="C368" s="89" t="str">
        <x:v>Passed</x:v>
      </x:c>
      <x:c r="D368" s="89" t="n">
        <x:v>1</x:v>
      </x:c>
      <x:c r="E368" s="89" t="str">
        <x:v>POST</x:v>
      </x:c>
      <x:c r="F368" s="89" t="str">
        <x:v>/api/v1/auth/login</x:v>
      </x:c>
      <x:c r="G368" s="90" t="str">
        <x:v>null</x:v>
      </x:c>
      <x:c r="H368" s="90" t="str">
        <x:v>{"email":"alex.chen@grow8.dev","password":"&lt;redacted&gt;"}</x:v>
      </x:c>
      <x:c r="I368" s="90" t="n">
        <x:v>200</x:v>
      </x:c>
      <x:c r="J368" s="90" t="str">
        <x:v>{"access_token":"&lt;redacted&gt;","token_type":"bearer","expires_in":3600,"user":{"user_id":5,"email":"alex.chen@grow8.dev","full_name":"Alex Chen","role":"contributor"}}</x:v>
      </x:c>
      <x:c r="K368" s="89" t="str"/>
    </x:row>
    <x:row r="369" ht="35" customHeight="1">
      <x:c r="A369" s="89" t="str">
        <x:v>NOTIF-003</x:v>
      </x:c>
      <x:c r="B369" s="89" t="str">
        <x:v>List Notifications</x:v>
      </x:c>
      <x:c r="C369" s="89" t="str">
        <x:v>Passed</x:v>
      </x:c>
      <x:c r="D369" s="89" t="n">
        <x:v>2</x:v>
      </x:c>
      <x:c r="E369" s="89" t="str">
        <x:v>GET</x:v>
      </x:c>
      <x:c r="F369" s="89" t="str">
        <x:v>/api/v1/notifications</x:v>
      </x:c>
      <x:c r="G369" s="90" t="str">
        <x:v>null</x:v>
      </x:c>
      <x:c r="H369" s="90" t="str">
        <x:v>null</x:v>
      </x:c>
      <x:c r="I369" s="90" t="n">
        <x:v>401</x:v>
      </x:c>
      <x:c r="J369" s="90" t="str">
        <x:v>{"error":{"code":"AUTH_REQUIRED","message":"Authentication required"}}</x:v>
      </x:c>
      <x:c r="K369" s="89" t="str">
        <x:v>Case duration 811 ms</x:v>
      </x:c>
    </x:row>
    <x:row r="370" ht="35" customHeight="1">
      <x:c r="A370" s="89" t="str">
        <x:v>NOTIF-004</x:v>
      </x:c>
      <x:c r="B370" s="89" t="str">
        <x:v>List Notifications</x:v>
      </x:c>
      <x:c r="C370" s="89" t="str">
        <x:v>Passed</x:v>
      </x:c>
      <x:c r="D370" s="89" t="n">
        <x:v>1</x:v>
      </x:c>
      <x:c r="E370" s="89" t="str">
        <x:v>POST</x:v>
      </x:c>
      <x:c r="F370" s="89" t="str">
        <x:v>/api/v1/auth/login</x:v>
      </x:c>
      <x:c r="G370" s="90" t="str">
        <x:v>null</x:v>
      </x:c>
      <x:c r="H370" s="90" t="str">
        <x:v>{"email":"alex.chen@grow8.dev","password":"&lt;redacted&gt;"}</x:v>
      </x:c>
      <x:c r="I370" s="90" t="n">
        <x:v>200</x:v>
      </x:c>
      <x:c r="J370" s="90" t="str">
        <x:v>{"access_token":"&lt;redacted&gt;","token_type":"bearer","expires_in":3600,"user":{"user_id":5,"email":"alex.chen@grow8.dev","full_name":"Alex Chen","role":"contributor"}}</x:v>
      </x:c>
      <x:c r="K370" s="89" t="str"/>
    </x:row>
    <x:row r="371" ht="35" customHeight="1">
      <x:c r="A371" s="89" t="str">
        <x:v>NOTIF-004</x:v>
      </x:c>
      <x:c r="B371" s="89" t="str">
        <x:v>List Notifications</x:v>
      </x:c>
      <x:c r="C371" s="89" t="str">
        <x:v>Passed</x:v>
      </x:c>
      <x:c r="D371" s="89" t="n">
        <x:v>2</x:v>
      </x:c>
      <x:c r="E371" s="89" t="str">
        <x:v>GET</x:v>
      </x:c>
      <x:c r="F371" s="89" t="str">
        <x:v>/api/v1/notifications</x:v>
      </x:c>
      <x:c r="G371" s="90" t="str">
        <x:v>null</x:v>
      </x:c>
      <x:c r="H371" s="90" t="str">
        <x:v>null</x:v>
      </x:c>
      <x:c r="I371" s="90" t="n">
        <x:v>401</x:v>
      </x:c>
      <x:c r="J371" s="90" t="str">
        <x:v>{"error":{"code":"INVALID_TOKEN","message":"Invalid or expired token"}}</x:v>
      </x:c>
      <x:c r="K371" s="89" t="str">
        <x:v>Case duration 727 ms</x:v>
      </x:c>
    </x:row>
    <x:row r="372" ht="35" customHeight="1">
      <x:c r="A372" s="89" t="str">
        <x:v>NOTIF-005</x:v>
      </x:c>
      <x:c r="B372" s="89" t="str">
        <x:v>List Notifications</x:v>
      </x:c>
      <x:c r="C372" s="89" t="str">
        <x:v>Passed</x:v>
      </x:c>
      <x:c r="D372" s="89" t="n">
        <x:v>1</x:v>
      </x:c>
      <x:c r="E372" s="89" t="str">
        <x:v>POST</x:v>
      </x:c>
      <x:c r="F372" s="89" t="str">
        <x:v>/api/v1/auth/login</x:v>
      </x:c>
      <x:c r="G372" s="90" t="str">
        <x:v>null</x:v>
      </x:c>
      <x:c r="H372" s="90" t="str">
        <x:v>{"email":"alex.chen@grow8.dev","password":"&lt;redacted&gt;"}</x:v>
      </x:c>
      <x:c r="I372" s="90" t="n">
        <x:v>200</x:v>
      </x:c>
      <x:c r="J372" s="90" t="str">
        <x:v>{"access_token":"&lt;redacted&gt;","token_type":"bearer","expires_in":3600,"user":{"user_id":5,"email":"alex.chen@grow8.dev","full_name":"Alex Chen","role":"contributor"}}</x:v>
      </x:c>
      <x:c r="K372" s="89" t="str"/>
    </x:row>
    <x:row r="373" ht="35" customHeight="1">
      <x:c r="A373" s="89" t="str">
        <x:v>NOTIF-005</x:v>
      </x:c>
      <x:c r="B373" s="89" t="str">
        <x:v>List Notifications</x:v>
      </x:c>
      <x:c r="C373" s="89" t="str">
        <x:v>Passed</x:v>
      </x:c>
      <x:c r="D373" s="89" t="n">
        <x:v>2</x:v>
      </x:c>
      <x:c r="E373" s="89" t="str">
        <x:v>GET</x:v>
      </x:c>
      <x:c r="F373" s="89" t="str">
        <x:v>/api/v1/notifications</x:v>
      </x:c>
      <x:c r="G373" s="90" t="str">
        <x:v>null</x:v>
      </x:c>
      <x:c r="H373" s="90" t="str">
        <x:v>null</x:v>
      </x:c>
      <x:c r="I373" s="90" t="n">
        <x:v>200</x:v>
      </x:c>
      <x:c r="J373" s="90" t="str">
        <x:v>{"items":[{"notification_id":28,"notification_type":"opportunity_created","title":"newest","message":"QA fixture notification","opportunity_id":15,"read_at":null,"created_at":"2026-10-13T09:00:00Z","is_read":false},{"notification_id":27,"notification_type":"opportunity_created","title":"middle","message":"QA fixture notification","opportunity_id":15,"read_at":null,"created_at":"2026-10-12T09:00:00Z","is_read":false},{"notification_id":26,"notification_type":"opportunity_created","title":"read","message":"QA fixture notification","opportunity_id":15,"read_at":"2026-10-11T10:00:00Z","created_at":"2026-10-11T09:00:00Z","is_read":true},{"notification_id":25,"notification_type":"opportunity_created","title":"oldest","message":"QA fixture notification","opportunity_id":15,"read_at":null,"created_at":"2026-10-10T09:00:00Z","is_read":false}],"total":4,"limit":20,"offset":0}</x:v>
      </x:c>
      <x:c r="K373" s="89" t="str"/>
    </x:row>
    <x:row r="374" ht="35" customHeight="1">
      <x:c r="A374" s="89" t="str">
        <x:v>NOTIF-005</x:v>
      </x:c>
      <x:c r="B374" s="89" t="str">
        <x:v>List Notifications</x:v>
      </x:c>
      <x:c r="C374" s="89" t="str">
        <x:v>Passed</x:v>
      </x:c>
      <x:c r="D374" s="89" t="n">
        <x:v>3</x:v>
      </x:c>
      <x:c r="E374" s="89" t="str">
        <x:v>POST</x:v>
      </x:c>
      <x:c r="F374" s="89" t="str">
        <x:v>/api/v1/auth/login</x:v>
      </x:c>
      <x:c r="G374" s="90" t="str">
        <x:v>null</x:v>
      </x:c>
      <x:c r="H374" s="90" t="str">
        <x:v>{"email":"yyc.events@grow8.dev","password":"&lt;redacted&gt;"}</x:v>
      </x:c>
      <x:c r="I374" s="90" t="n">
        <x:v>200</x:v>
      </x:c>
      <x:c r="J374" s="90" t="str">
        <x:v>{"access_token":"&lt;redacted&gt;","token_type":"bearer","expires_in":3600,"user":{"user_id":4,"email":"yyc.events@grow8.dev","full_name":"Sofia Martinez","role":"creator"}}</x:v>
      </x:c>
      <x:c r="K374" s="89" t="str"/>
    </x:row>
    <x:row r="375" ht="35" customHeight="1">
      <x:c r="A375" s="89" t="str">
        <x:v>NOTIF-005</x:v>
      </x:c>
      <x:c r="B375" s="89" t="str">
        <x:v>List Notifications</x:v>
      </x:c>
      <x:c r="C375" s="89" t="str">
        <x:v>Passed</x:v>
      </x:c>
      <x:c r="D375" s="89" t="n">
        <x:v>4</x:v>
      </x:c>
      <x:c r="E375" s="89" t="str">
        <x:v>GET</x:v>
      </x:c>
      <x:c r="F375" s="89" t="str">
        <x:v>/api/v1/notifications</x:v>
      </x:c>
      <x:c r="G375" s="90" t="str">
        <x:v>null</x:v>
      </x:c>
      <x:c r="H375" s="90" t="str">
        <x:v>null</x:v>
      </x:c>
      <x:c r="I375" s="90" t="n">
        <x:v>200</x:v>
      </x:c>
      <x:c r="J375" s="90" t="str">
        <x:v>{"items":[{"notification_id":29,"notification_type":"opportunity_created","title":"sofia","message":"QA fixture notification","opportunity_id":15,"read_at":null,"created_at":"2026-10-13T09:00:00Z","is_read":false}],"total":1,"limit":20,"offset":0}</x:v>
      </x:c>
      <x:c r="K375" s="89" t="str">
        <x:v>Case duration 00:00:01</x:v>
      </x:c>
    </x:row>
    <x:row r="376" ht="35" customHeight="1">
      <x:c r="A376" s="89" t="str">
        <x:v>NOTIF-006</x:v>
      </x:c>
      <x:c r="B376" s="89" t="str">
        <x:v>List Notifications</x:v>
      </x:c>
      <x:c r="C376" s="89" t="str">
        <x:v>Passed</x:v>
      </x:c>
      <x:c r="D376" s="89" t="n">
        <x:v>1</x:v>
      </x:c>
      <x:c r="E376" s="89" t="str">
        <x:v>POST</x:v>
      </x:c>
      <x:c r="F376" s="89" t="str">
        <x:v>/api/v1/auth/login</x:v>
      </x:c>
      <x:c r="G376" s="90" t="str">
        <x:v>null</x:v>
      </x:c>
      <x:c r="H376" s="90" t="str">
        <x:v>{"email":"alex.chen@grow8.dev","password":"&lt;redacted&gt;"}</x:v>
      </x:c>
      <x:c r="I376" s="90" t="n">
        <x:v>200</x:v>
      </x:c>
      <x:c r="J376" s="90" t="str">
        <x:v>{"access_token":"&lt;redacted&gt;","token_type":"bearer","expires_in":3600,"user":{"user_id":5,"email":"alex.chen@grow8.dev","full_name":"Alex Chen","role":"contributor"}}</x:v>
      </x:c>
      <x:c r="K376" s="89" t="str"/>
    </x:row>
    <x:row r="377" ht="35" customHeight="1">
      <x:c r="A377" s="89" t="str">
        <x:v>NOTIF-006</x:v>
      </x:c>
      <x:c r="B377" s="89" t="str">
        <x:v>List Notifications</x:v>
      </x:c>
      <x:c r="C377" s="89" t="str">
        <x:v>Passed</x:v>
      </x:c>
      <x:c r="D377" s="89" t="n">
        <x:v>2</x:v>
      </x:c>
      <x:c r="E377" s="89" t="str">
        <x:v>GET</x:v>
      </x:c>
      <x:c r="F377" s="89" t="str">
        <x:v>/api/v1/notifications</x:v>
      </x:c>
      <x:c r="G377" s="90" t="str">
        <x:v>{"unread_only":"true"}</x:v>
      </x:c>
      <x:c r="H377" s="90" t="str">
        <x:v>null</x:v>
      </x:c>
      <x:c r="I377" s="90" t="n">
        <x:v>200</x:v>
      </x:c>
      <x:c r="J377" s="90" t="str">
        <x:v>{"items":[{"notification_id":34,"notification_type":"opportunity_created","title":"newest","message":"QA fixture notification","opportunity_id":15,"read_at":null,"created_at":"2026-10-13T09:00:00Z","is_read":false},{"notification_id":33,"notification_type":"opportunity_created","title":"middle","message":"QA fixture notification","opportunity_id":15,"read_at":null,"created_at":"2026-10-12T09:00:00Z","is_read":false},{"notification_id":31,"notification_type":"opportunity_created","title":"oldest","message":"QA fixture notification","opportunity_id":15,"read_at":null,"created_at":"2026-10-10T09:00:00Z","is_read":false}],"total":3,"limit":20,"offset":0}</x:v>
      </x:c>
      <x:c r="K377" s="89" t="str">
        <x:v>Case duration 660 ms</x:v>
      </x:c>
    </x:row>
    <x:row r="378" ht="35" customHeight="1">
      <x:c r="A378" s="89" t="str">
        <x:v>NOTIF-007</x:v>
      </x:c>
      <x:c r="B378" s="89" t="str">
        <x:v>List Notifications</x:v>
      </x:c>
      <x:c r="C378" s="89" t="str">
        <x:v>Passed</x:v>
      </x:c>
      <x:c r="D378" s="89" t="n">
        <x:v>1</x:v>
      </x:c>
      <x:c r="E378" s="89" t="str">
        <x:v>POST</x:v>
      </x:c>
      <x:c r="F378" s="89" t="str">
        <x:v>/api/v1/auth/login</x:v>
      </x:c>
      <x:c r="G378" s="90" t="str">
        <x:v>null</x:v>
      </x:c>
      <x:c r="H378" s="90" t="str">
        <x:v>{"email":"alex.chen@grow8.dev","password":"&lt;redacted&gt;"}</x:v>
      </x:c>
      <x:c r="I378" s="90" t="n">
        <x:v>200</x:v>
      </x:c>
      <x:c r="J378" s="90" t="str">
        <x:v>{"access_token":"&lt;redacted&gt;","token_type":"bearer","expires_in":3600,"user":{"user_id":5,"email":"alex.chen@grow8.dev","full_name":"Alex Chen","role":"contributor"}}</x:v>
      </x:c>
      <x:c r="K378" s="89" t="str"/>
    </x:row>
    <x:row r="379" ht="35" customHeight="1">
      <x:c r="A379" s="89" t="str">
        <x:v>NOTIF-007</x:v>
      </x:c>
      <x:c r="B379" s="89" t="str">
        <x:v>List Notifications</x:v>
      </x:c>
      <x:c r="C379" s="89" t="str">
        <x:v>Passed</x:v>
      </x:c>
      <x:c r="D379" s="89" t="n">
        <x:v>2</x:v>
      </x:c>
      <x:c r="E379" s="89" t="str">
        <x:v>GET</x:v>
      </x:c>
      <x:c r="F379" s="89" t="str">
        <x:v>/api/v1/notifications</x:v>
      </x:c>
      <x:c r="G379" s="90" t="str">
        <x:v>null</x:v>
      </x:c>
      <x:c r="H379" s="90" t="str">
        <x:v>null</x:v>
      </x:c>
      <x:c r="I379" s="90" t="n">
        <x:v>200</x:v>
      </x:c>
      <x:c r="J379" s="90" t="str">
        <x:v>{"items":[{"notification_id":40,"notification_type":"opportunity_created","title":"newest","message":"QA fixture notification","opportunity_id":15,"read_at":null,"created_at":"2026-10-13T09:00:00Z","is_read":false},{"notification_id":39,"notification_type":"opportunity_created","title":"middle","message":"QA fixture notification","opportunity_id":15,"read_at":null,"created_at":"2026-10-12T09:00:00Z","is_read":false},{"notification_id":38,"notification_type":"opportunity_created","title":"read","message":"QA fixture notification","opportunity_id":15,"read_at":"2026-10-11T10:00:00Z","created_at":"2026-10-11T09:00:00Z","is_read":true},{"notification_id":37,"notification_type":"opportunity_created","title":"oldest","message":"QA fixture notification","opportunity_id":15,"read_at":null,"created_at":"2026-10-10T09:00:00Z","is_read":false}],"total":4,"limit":20,"offset":0}</x:v>
      </x:c>
      <x:c r="K379" s="89" t="str">
        <x:v>Case duration 680 ms</x:v>
      </x:c>
    </x:row>
    <x:row r="380" ht="35" customHeight="1">
      <x:c r="A380" s="89" t="str">
        <x:v>NOTIF-008</x:v>
      </x:c>
      <x:c r="B380" s="89" t="str">
        <x:v>List Notifications</x:v>
      </x:c>
      <x:c r="C380" s="89" t="str">
        <x:v>Passed</x:v>
      </x:c>
      <x:c r="D380" s="89" t="n">
        <x:v>1</x:v>
      </x:c>
      <x:c r="E380" s="89" t="str">
        <x:v>POST</x:v>
      </x:c>
      <x:c r="F380" s="89" t="str">
        <x:v>/api/v1/auth/login</x:v>
      </x:c>
      <x:c r="G380" s="90" t="str">
        <x:v>null</x:v>
      </x:c>
      <x:c r="H380" s="90" t="str">
        <x:v>{"email":"alex.chen@grow8.dev","password":"&lt;redacted&gt;"}</x:v>
      </x:c>
      <x:c r="I380" s="90" t="n">
        <x:v>200</x:v>
      </x:c>
      <x:c r="J380" s="90" t="str">
        <x:v>{"access_token":"&lt;redacted&gt;","token_type":"bearer","expires_in":3600,"user":{"user_id":5,"email":"alex.chen@grow8.dev","full_name":"Alex Chen","role":"contributor"}}</x:v>
      </x:c>
      <x:c r="K380" s="89" t="str"/>
    </x:row>
    <x:row r="381" ht="35" customHeight="1">
      <x:c r="A381" s="89" t="str">
        <x:v>NOTIF-008</x:v>
      </x:c>
      <x:c r="B381" s="89" t="str">
        <x:v>List Notifications</x:v>
      </x:c>
      <x:c r="C381" s="89" t="str">
        <x:v>Passed</x:v>
      </x:c>
      <x:c r="D381" s="89" t="n">
        <x:v>2</x:v>
      </x:c>
      <x:c r="E381" s="89" t="str">
        <x:v>GET</x:v>
      </x:c>
      <x:c r="F381" s="89" t="str">
        <x:v>/api/v1/notifications</x:v>
      </x:c>
      <x:c r="G381" s="90" t="str">
        <x:v>{"limit":2,"offset":2}</x:v>
      </x:c>
      <x:c r="H381" s="90" t="str">
        <x:v>null</x:v>
      </x:c>
      <x:c r="I381" s="90" t="n">
        <x:v>200</x:v>
      </x:c>
      <x:c r="J381" s="90" t="str">
        <x:v>{"items":[{"notification_id":44,"notification_type":"opportunity_created","title":"read","message":"QA fixture notification","opportunity_id":15,"read_at":"2026-10-11T10:00:00Z","created_at":"2026-10-11T09:00:00Z","is_read":true},{"notification_id":43,"notification_type":"opportunity_created","title":"oldest","message":"QA fixture notification","opportunity_id":15,"read_at":null,"created_at":"2026-10-10T09:00:00Z","is_read":false}],"total":4,"limit":2,"offset":2}</x:v>
      </x:c>
      <x:c r="K381" s="89" t="str">
        <x:v>Case duration 645 ms</x:v>
      </x:c>
    </x:row>
    <x:row r="382" ht="35" customHeight="1">
      <x:c r="A382" s="89" t="str">
        <x:v>NOTIF-009</x:v>
      </x:c>
      <x:c r="B382" s="89" t="str">
        <x:v>List Notifications</x:v>
      </x:c>
      <x:c r="C382" s="89" t="str">
        <x:v>Passed</x:v>
      </x:c>
      <x:c r="D382" s="89" t="n">
        <x:v>1</x:v>
      </x:c>
      <x:c r="E382" s="89" t="str">
        <x:v>POST</x:v>
      </x:c>
      <x:c r="F382" s="89" t="str">
        <x:v>/api/v1/auth/login</x:v>
      </x:c>
      <x:c r="G382" s="90" t="str">
        <x:v>null</x:v>
      </x:c>
      <x:c r="H382" s="90" t="str">
        <x:v>{"email":"alex.chen@grow8.dev","password":"&lt;redacted&gt;"}</x:v>
      </x:c>
      <x:c r="I382" s="90" t="n">
        <x:v>200</x:v>
      </x:c>
      <x:c r="J382" s="90" t="str">
        <x:v>{"access_token":"&lt;redacted&gt;","token_type":"bearer","expires_in":3600,"user":{"user_id":5,"email":"alex.chen@grow8.dev","full_name":"Alex Chen","role":"contributor"}}</x:v>
      </x:c>
      <x:c r="K382" s="89" t="str"/>
    </x:row>
    <x:row r="383" ht="35" customHeight="1">
      <x:c r="A383" s="89" t="str">
        <x:v>NOTIF-009</x:v>
      </x:c>
      <x:c r="B383" s="89" t="str">
        <x:v>List Notifications</x:v>
      </x:c>
      <x:c r="C383" s="89" t="str">
        <x:v>Passed</x:v>
      </x:c>
      <x:c r="D383" s="89" t="n">
        <x:v>2</x:v>
      </x:c>
      <x:c r="E383" s="89" t="str">
        <x:v>POST</x:v>
      </x:c>
      <x:c r="F383" s="89" t="str">
        <x:v>/api/v1/auth/login</x:v>
      </x:c>
      <x:c r="G383" s="90" t="str">
        <x:v>null</x:v>
      </x:c>
      <x:c r="H383" s="90" t="str">
        <x:v>{"email":"maple.bakery@grow8.dev","password":"&lt;redacted&gt;"}</x:v>
      </x:c>
      <x:c r="I383" s="90" t="n">
        <x:v>200</x:v>
      </x:c>
      <x:c r="J383" s="90" t="str">
        <x:v>{"access_token":"&lt;redacted&gt;","token_type":"bearer","expires_in":3600,"user":{"user_id":2,"email":"maple.bakery@grow8.dev","full_name":"Priya Nair","role":"creator"}}</x:v>
      </x:c>
      <x:c r="K383" s="89" t="str"/>
    </x:row>
    <x:row r="384" ht="35" customHeight="1">
      <x:c r="A384" s="89" t="str">
        <x:v>NOTIF-009</x:v>
      </x:c>
      <x:c r="B384" s="89" t="str">
        <x:v>List Notifications</x:v>
      </x:c>
      <x:c r="C384" s="89" t="str">
        <x:v>Passed</x:v>
      </x:c>
      <x:c r="D384" s="89" t="n">
        <x:v>3</x:v>
      </x:c>
      <x:c r="E384" s="89" t="str">
        <x:v>GET</x:v>
      </x:c>
      <x:c r="F384" s="89" t="str">
        <x:v>/api/v1/notifications</x:v>
      </x:c>
      <x:c r="G384" s="90" t="str">
        <x:v>null</x:v>
      </x:c>
      <x:c r="H384" s="90" t="str">
        <x:v>null</x:v>
      </x:c>
      <x:c r="I384" s="90" t="n">
        <x:v>200</x:v>
      </x:c>
      <x:c r="J384" s="90" t="str">
        <x:v>{"items":[],"total":0,"limit":20,"offset":0}</x:v>
      </x:c>
      <x:c r="K384" s="89" t="str">
        <x:v>Case duration 991 ms</x:v>
      </x:c>
    </x:row>
    <x:row r="385" ht="35" customHeight="1">
      <x:c r="A385" s="89" t="str">
        <x:v>NOTIF-010</x:v>
      </x:c>
      <x:c r="B385" s="89" t="str">
        <x:v>List Notifications</x:v>
      </x:c>
      <x:c r="C385" s="89" t="str">
        <x:v>Passed</x:v>
      </x:c>
      <x:c r="D385" s="89" t="n">
        <x:v>1</x:v>
      </x:c>
      <x:c r="E385" s="89" t="str">
        <x:v>POST</x:v>
      </x:c>
      <x:c r="F385" s="89" t="str">
        <x:v>/api/v1/auth/login</x:v>
      </x:c>
      <x:c r="G385" s="90" t="str">
        <x:v>null</x:v>
      </x:c>
      <x:c r="H385" s="90" t="str">
        <x:v>{"email":"alex.chen@grow8.dev","password":"&lt;redacted&gt;"}</x:v>
      </x:c>
      <x:c r="I385" s="90" t="n">
        <x:v>200</x:v>
      </x:c>
      <x:c r="J385" s="90" t="str">
        <x:v>{"access_token":"&lt;redacted&gt;","token_type":"bearer","expires_in":3600,"user":{"user_id":5,"email":"alex.chen@grow8.dev","full_name":"Alex Chen","role":"contributor"}}</x:v>
      </x:c>
      <x:c r="K385" s="89" t="str"/>
    </x:row>
    <x:row r="386" ht="35" customHeight="1">
      <x:c r="A386" s="89" t="str">
        <x:v>NOTIF-010</x:v>
      </x:c>
      <x:c r="B386" s="89" t="str">
        <x:v>List Notifications</x:v>
      </x:c>
      <x:c r="C386" s="89" t="str">
        <x:v>Passed</x:v>
      </x:c>
      <x:c r="D386" s="89" t="n">
        <x:v>2</x:v>
      </x:c>
      <x:c r="E386" s="89" t="str">
        <x:v>GET</x:v>
      </x:c>
      <x:c r="F386" s="89" t="str">
        <x:v>/api/v1/notifications</x:v>
      </x:c>
      <x:c r="G386" s="90" t="str">
        <x:v>{"limit":0}</x:v>
      </x:c>
      <x:c r="H386" s="90" t="str">
        <x:v>null</x:v>
      </x:c>
      <x:c r="I386" s="90" t="n">
        <x:v>422</x:v>
      </x:c>
      <x:c r="J386" s="90" t="str">
        <x:v>{"error":{"code":"VALIDATION_ERROR","message":"Request validation failed","details":[{"loc":["query","limit"],"message":"Input should be greater than or equal to 1","type":"greater_than_equal"}]}}</x:v>
      </x:c>
      <x:c r="K386" s="89" t="str"/>
    </x:row>
    <x:row r="387" ht="35" customHeight="1">
      <x:c r="A387" s="89" t="str">
        <x:v>NOTIF-010</x:v>
      </x:c>
      <x:c r="B387" s="89" t="str">
        <x:v>List Notifications</x:v>
      </x:c>
      <x:c r="C387" s="89" t="str">
        <x:v>Passed</x:v>
      </x:c>
      <x:c r="D387" s="89" t="n">
        <x:v>3</x:v>
      </x:c>
      <x:c r="E387" s="89" t="str">
        <x:v>GET</x:v>
      </x:c>
      <x:c r="F387" s="89" t="str">
        <x:v>/api/v1/notifications</x:v>
      </x:c>
      <x:c r="G387" s="90" t="str">
        <x:v>{"limit":101}</x:v>
      </x:c>
      <x:c r="H387" s="90" t="str">
        <x:v>null</x:v>
      </x:c>
      <x:c r="I387" s="90" t="n">
        <x:v>422</x:v>
      </x:c>
      <x:c r="J387" s="90" t="str">
        <x:v>{"error":{"code":"VALIDATION_ERROR","message":"Request validation failed","details":[{"loc":["query","limit"],"message":"Input should be less than or equal to 100","type":"less_than_equal"}]}}</x:v>
      </x:c>
      <x:c r="K387" s="89" t="str"/>
    </x:row>
    <x:row r="388" ht="35" customHeight="1">
      <x:c r="A388" s="89" t="str">
        <x:v>NOTIF-010</x:v>
      </x:c>
      <x:c r="B388" s="89" t="str">
        <x:v>List Notifications</x:v>
      </x:c>
      <x:c r="C388" s="89" t="str">
        <x:v>Passed</x:v>
      </x:c>
      <x:c r="D388" s="89" t="n">
        <x:v>4</x:v>
      </x:c>
      <x:c r="E388" s="89" t="str">
        <x:v>GET</x:v>
      </x:c>
      <x:c r="F388" s="89" t="str">
        <x:v>/api/v1/notifications</x:v>
      </x:c>
      <x:c r="G388" s="90" t="str">
        <x:v>{"offset":-1}</x:v>
      </x:c>
      <x:c r="H388" s="90" t="str">
        <x:v>null</x:v>
      </x:c>
      <x:c r="I388" s="90" t="n">
        <x:v>422</x:v>
      </x:c>
      <x:c r="J388" s="90" t="str">
        <x:v>{"error":{"code":"VALIDATION_ERROR","message":"Request validation failed","details":[{"loc":["query","offset"],"message":"Input should be greater than or equal to 0","type":"greater_than_equal"}]}}</x:v>
      </x:c>
      <x:c r="K388" s="89" t="str">
        <x:v>Case duration 778 ms</x:v>
      </x:c>
    </x:row>
    <x:row r="389" ht="35" customHeight="1">
      <x:c r="A389" s="89" t="str">
        <x:v>UCNT-001</x:v>
      </x:c>
      <x:c r="B389" s="89" t="str">
        <x:v>Unread Count</x:v>
      </x:c>
      <x:c r="C389" s="89" t="str">
        <x:v>Passed</x:v>
      </x:c>
      <x:c r="D389" s="89" t="n">
        <x:v>1</x:v>
      </x:c>
      <x:c r="E389" s="89" t="str">
        <x:v>POST</x:v>
      </x:c>
      <x:c r="F389" s="89" t="str">
        <x:v>/api/v1/auth/login</x:v>
      </x:c>
      <x:c r="G389" s="90" t="str">
        <x:v>null</x:v>
      </x:c>
      <x:c r="H389" s="90" t="str">
        <x:v>{"email":"alex.chen@grow8.dev","password":"&lt;redacted&gt;"}</x:v>
      </x:c>
      <x:c r="I389" s="90" t="n">
        <x:v>200</x:v>
      </x:c>
      <x:c r="J389" s="90" t="str">
        <x:v>{"access_token":"&lt;redacted&gt;","token_type":"bearer","expires_in":3600,"user":{"user_id":5,"email":"alex.chen@grow8.dev","full_name":"Alex Chen","role":"contributor"}}</x:v>
      </x:c>
      <x:c r="K389" s="89" t="str"/>
    </x:row>
    <x:row r="390" ht="35" customHeight="1">
      <x:c r="A390" s="89" t="str">
        <x:v>UCNT-001</x:v>
      </x:c>
      <x:c r="B390" s="89" t="str">
        <x:v>Unread Count</x:v>
      </x:c>
      <x:c r="C390" s="89" t="str">
        <x:v>Passed</x:v>
      </x:c>
      <x:c r="D390" s="89" t="n">
        <x:v>2</x:v>
      </x:c>
      <x:c r="E390" s="89" t="str">
        <x:v>GET</x:v>
      </x:c>
      <x:c r="F390" s="89" t="str">
        <x:v>/api/v1/notifications/unread-count</x:v>
      </x:c>
      <x:c r="G390" s="90" t="str">
        <x:v>null</x:v>
      </x:c>
      <x:c r="H390" s="90" t="str">
        <x:v>null</x:v>
      </x:c>
      <x:c r="I390" s="90" t="n">
        <x:v>200</x:v>
      </x:c>
      <x:c r="J390" s="90" t="str">
        <x:v>{"unread_count":3}</x:v>
      </x:c>
      <x:c r="K390" s="89" t="str">
        <x:v>Case duration 675 ms</x:v>
      </x:c>
    </x:row>
    <x:row r="391" ht="35" customHeight="1">
      <x:c r="A391" s="89" t="str">
        <x:v>UCNT-002</x:v>
      </x:c>
      <x:c r="B391" s="89" t="str">
        <x:v>Unread Count</x:v>
      </x:c>
      <x:c r="C391" s="89" t="str">
        <x:v>Passed</x:v>
      </x:c>
      <x:c r="D391" s="89" t="n">
        <x:v>1</x:v>
      </x:c>
      <x:c r="E391" s="89" t="str">
        <x:v>POST</x:v>
      </x:c>
      <x:c r="F391" s="89" t="str">
        <x:v>/api/v1/auth/login</x:v>
      </x:c>
      <x:c r="G391" s="90" t="str">
        <x:v>null</x:v>
      </x:c>
      <x:c r="H391" s="90" t="str">
        <x:v>{"email":"alex.chen@grow8.dev","password":"&lt;redacted&gt;"}</x:v>
      </x:c>
      <x:c r="I391" s="90" t="n">
        <x:v>200</x:v>
      </x:c>
      <x:c r="J391" s="90" t="str">
        <x:v>{"access_token":"&lt;redacted&gt;","token_type":"bearer","expires_in":3600,"user":{"user_id":5,"email":"alex.chen@grow8.dev","full_name":"Alex Chen","role":"contributor"}}</x:v>
      </x:c>
      <x:c r="K391" s="89" t="str"/>
    </x:row>
    <x:row r="392" ht="35" customHeight="1">
      <x:c r="A392" s="89" t="str">
        <x:v>UCNT-002</x:v>
      </x:c>
      <x:c r="B392" s="89" t="str">
        <x:v>Unread Count</x:v>
      </x:c>
      <x:c r="C392" s="89" t="str">
        <x:v>Passed</x:v>
      </x:c>
      <x:c r="D392" s="89" t="n">
        <x:v>2</x:v>
      </x:c>
      <x:c r="E392" s="89" t="str">
        <x:v>POST</x:v>
      </x:c>
      <x:c r="F392" s="89" t="str">
        <x:v>/api/v1/auth/login</x:v>
      </x:c>
      <x:c r="G392" s="90" t="str">
        <x:v>null</x:v>
      </x:c>
      <x:c r="H392" s="90" t="str">
        <x:v>{"email":"maple.bakery@grow8.dev","password":"&lt;redacted&gt;"}</x:v>
      </x:c>
      <x:c r="I392" s="90" t="n">
        <x:v>200</x:v>
      </x:c>
      <x:c r="J392" s="90" t="str">
        <x:v>{"access_token":"&lt;redacted&gt;","token_type":"bearer","expires_in":3600,"user":{"user_id":2,"email":"maple.bakery@grow8.dev","full_name":"Priya Nair","role":"creator"}}</x:v>
      </x:c>
      <x:c r="K392" s="89" t="str"/>
    </x:row>
    <x:row r="393" ht="35" customHeight="1">
      <x:c r="A393" s="89" t="str">
        <x:v>UCNT-002</x:v>
      </x:c>
      <x:c r="B393" s="89" t="str">
        <x:v>Unread Count</x:v>
      </x:c>
      <x:c r="C393" s="89" t="str">
        <x:v>Passed</x:v>
      </x:c>
      <x:c r="D393" s="89" t="n">
        <x:v>3</x:v>
      </x:c>
      <x:c r="E393" s="89" t="str">
        <x:v>GET</x:v>
      </x:c>
      <x:c r="F393" s="89" t="str">
        <x:v>/api/v1/notifications/unread-count</x:v>
      </x:c>
      <x:c r="G393" s="90" t="str">
        <x:v>null</x:v>
      </x:c>
      <x:c r="H393" s="90" t="str">
        <x:v>null</x:v>
      </x:c>
      <x:c r="I393" s="90" t="n">
        <x:v>200</x:v>
      </x:c>
      <x:c r="J393" s="90" t="str">
        <x:v>{"unread_count":0}</x:v>
      </x:c>
      <x:c r="K393" s="89" t="str">
        <x:v>Case duration 00:00:01</x:v>
      </x:c>
    </x:row>
    <x:row r="394" ht="35" customHeight="1">
      <x:c r="A394" s="89" t="str">
        <x:v>UCNT-003</x:v>
      </x:c>
      <x:c r="B394" s="89" t="str">
        <x:v>Unread Count</x:v>
      </x:c>
      <x:c r="C394" s="89" t="str">
        <x:v>Passed</x:v>
      </x:c>
      <x:c r="D394" s="89" t="n">
        <x:v>1</x:v>
      </x:c>
      <x:c r="E394" s="89" t="str">
        <x:v>POST</x:v>
      </x:c>
      <x:c r="F394" s="89" t="str">
        <x:v>/api/v1/auth/login</x:v>
      </x:c>
      <x:c r="G394" s="90" t="str">
        <x:v>null</x:v>
      </x:c>
      <x:c r="H394" s="90" t="str">
        <x:v>{"email":"alex.chen@grow8.dev","password":"&lt;redacted&gt;"}</x:v>
      </x:c>
      <x:c r="I394" s="90" t="n">
        <x:v>200</x:v>
      </x:c>
      <x:c r="J394" s="90" t="str">
        <x:v>{"access_token":"&lt;redacted&gt;","token_type":"bearer","expires_in":3600,"user":{"user_id":5,"email":"alex.chen@grow8.dev","full_name":"Alex Chen","role":"contributor"}}</x:v>
      </x:c>
      <x:c r="K394" s="89" t="str"/>
    </x:row>
    <x:row r="395" ht="35" customHeight="1">
      <x:c r="A395" s="89" t="str">
        <x:v>UCNT-003</x:v>
      </x:c>
      <x:c r="B395" s="89" t="str">
        <x:v>Unread Count</x:v>
      </x:c>
      <x:c r="C395" s="89" t="str">
        <x:v>Passed</x:v>
      </x:c>
      <x:c r="D395" s="89" t="n">
        <x:v>2</x:v>
      </x:c>
      <x:c r="E395" s="89" t="str">
        <x:v>GET</x:v>
      </x:c>
      <x:c r="F395" s="89" t="str">
        <x:v>/api/v1/notifications</x:v>
      </x:c>
      <x:c r="G395" s="90" t="str">
        <x:v>null</x:v>
      </x:c>
      <x:c r="H395" s="90" t="str">
        <x:v>null</x:v>
      </x:c>
      <x:c r="I395" s="90" t="n">
        <x:v>200</x:v>
      </x:c>
      <x:c r="J395" s="90" t="str">
        <x:v>{"items":[{"notification_id":76,"notification_type":"opportunity_created","title":"newest","message":"QA fixture notification","opportunity_id":15,"read_at":null,"created_at":"2026-10-13T09:00:00Z","is_read":false},{"notification_id":75,"notification_type":"opportunity_created","title":"middle","message":"QA fixture notification","opportunity_id":15,"read_at":null,"created_at":"2026-10-12T09:00:00Z","is_read":false},{"notification_id":74,"notification_type":"opportunity_created","title":"read","message":"QA fixture notification","opportunity_id":15,"read_at":"2026-10-11T10:00:00Z","created_at":"2026-10-11T09:00:00Z","is_read":true},{"notification_id":73,"notification_type":"opportunity_created","title":"oldest","message":"QA fixture notification","opportunity_id":15,"read_at":null,"created_at":"2026-10-10T09:00:00Z","is_read":false}],"total":4,"limit":20,"offset":0}</x:v>
      </x:c>
      <x:c r="K395" s="89" t="str"/>
    </x:row>
    <x:row r="396" ht="35" customHeight="1">
      <x:c r="A396" s="89" t="str">
        <x:v>UCNT-003</x:v>
      </x:c>
      <x:c r="B396" s="89" t="str">
        <x:v>Unread Count</x:v>
      </x:c>
      <x:c r="C396" s="89" t="str">
        <x:v>Passed</x:v>
      </x:c>
      <x:c r="D396" s="89" t="n">
        <x:v>3</x:v>
      </x:c>
      <x:c r="E396" s="89" t="str">
        <x:v>GET</x:v>
      </x:c>
      <x:c r="F396" s="89" t="str">
        <x:v>/api/v1/notifications/unread-count</x:v>
      </x:c>
      <x:c r="G396" s="90" t="str">
        <x:v>null</x:v>
      </x:c>
      <x:c r="H396" s="90" t="str">
        <x:v>null</x:v>
      </x:c>
      <x:c r="I396" s="90" t="n">
        <x:v>200</x:v>
      </x:c>
      <x:c r="J396" s="90" t="str">
        <x:v>{"unread_count":3}</x:v>
      </x:c>
      <x:c r="K396" s="89" t="str">
        <x:v>Case duration 846 ms</x:v>
      </x:c>
    </x:row>
    <x:row r="397" ht="35" customHeight="1">
      <x:c r="A397" s="89" t="str">
        <x:v>UCNT-004</x:v>
      </x:c>
      <x:c r="B397" s="89" t="str">
        <x:v>Unread Count</x:v>
      </x:c>
      <x:c r="C397" s="89" t="str">
        <x:v>Passed</x:v>
      </x:c>
      <x:c r="D397" s="89" t="n">
        <x:v>1</x:v>
      </x:c>
      <x:c r="E397" s="89" t="str">
        <x:v>POST</x:v>
      </x:c>
      <x:c r="F397" s="89" t="str">
        <x:v>/api/v1/auth/login</x:v>
      </x:c>
      <x:c r="G397" s="90" t="str">
        <x:v>null</x:v>
      </x:c>
      <x:c r="H397" s="90" t="str">
        <x:v>{"email":"alex.chen@grow8.dev","password":"&lt;redacted&gt;"}</x:v>
      </x:c>
      <x:c r="I397" s="90" t="n">
        <x:v>200</x:v>
      </x:c>
      <x:c r="J397" s="90" t="str">
        <x:v>{"access_token":"&lt;redacted&gt;","token_type":"bearer","expires_in":3600,"user":{"user_id":5,"email":"alex.chen@grow8.dev","full_name":"Alex Chen","role":"contributor"}}</x:v>
      </x:c>
      <x:c r="K397" s="89" t="str"/>
    </x:row>
    <x:row r="398" ht="35" customHeight="1">
      <x:c r="A398" s="89" t="str">
        <x:v>UCNT-004</x:v>
      </x:c>
      <x:c r="B398" s="89" t="str">
        <x:v>Unread Count</x:v>
      </x:c>
      <x:c r="C398" s="89" t="str">
        <x:v>Passed</x:v>
      </x:c>
      <x:c r="D398" s="89" t="n">
        <x:v>2</x:v>
      </x:c>
      <x:c r="E398" s="89" t="str">
        <x:v>POST</x:v>
      </x:c>
      <x:c r="F398" s="89" t="str">
        <x:v>/api/v1/auth/login</x:v>
      </x:c>
      <x:c r="G398" s="90" t="str">
        <x:v>null</x:v>
      </x:c>
      <x:c r="H398" s="90" t="str">
        <x:v>{"email":"yyc.events@grow8.dev","password":"&lt;redacted&gt;"}</x:v>
      </x:c>
      <x:c r="I398" s="90" t="n">
        <x:v>200</x:v>
      </x:c>
      <x:c r="J398" s="90" t="str">
        <x:v>{"access_token":"&lt;redacted&gt;","token_type":"bearer","expires_in":3600,"user":{"user_id":4,"email":"yyc.events@grow8.dev","full_name":"Sofia Martinez","role":"creator"}}</x:v>
      </x:c>
      <x:c r="K398" s="89" t="str"/>
    </x:row>
    <x:row r="399" ht="35" customHeight="1">
      <x:c r="A399" s="89" t="str">
        <x:v>UCNT-004</x:v>
      </x:c>
      <x:c r="B399" s="89" t="str">
        <x:v>Unread Count</x:v>
      </x:c>
      <x:c r="C399" s="89" t="str">
        <x:v>Passed</x:v>
      </x:c>
      <x:c r="D399" s="89" t="n">
        <x:v>3</x:v>
      </x:c>
      <x:c r="E399" s="89" t="str">
        <x:v>GET</x:v>
      </x:c>
      <x:c r="F399" s="89" t="str">
        <x:v>/api/v1/notifications/unread-count</x:v>
      </x:c>
      <x:c r="G399" s="90" t="str">
        <x:v>null</x:v>
      </x:c>
      <x:c r="H399" s="90" t="str">
        <x:v>null</x:v>
      </x:c>
      <x:c r="I399" s="90" t="n">
        <x:v>200</x:v>
      </x:c>
      <x:c r="J399" s="90" t="str">
        <x:v>{"unread_count":1}</x:v>
      </x:c>
      <x:c r="K399" s="89" t="str"/>
    </x:row>
    <x:row r="400" ht="35" customHeight="1">
      <x:c r="A400" s="89" t="str">
        <x:v>UCNT-004</x:v>
      </x:c>
      <x:c r="B400" s="89" t="str">
        <x:v>Unread Count</x:v>
      </x:c>
      <x:c r="C400" s="89" t="str">
        <x:v>Passed</x:v>
      </x:c>
      <x:c r="D400" s="89" t="n">
        <x:v>4</x:v>
      </x:c>
      <x:c r="E400" s="89" t="str">
        <x:v>POST</x:v>
      </x:c>
      <x:c r="F400" s="89" t="str">
        <x:v>/api/v1/auth/login</x:v>
      </x:c>
      <x:c r="G400" s="90" t="str">
        <x:v>null</x:v>
      </x:c>
      <x:c r="H400" s="90" t="str">
        <x:v>{"email":"admin@grow8.dev","password":"&lt;redacted&gt;"}</x:v>
      </x:c>
      <x:c r="I400" s="90" t="n">
        <x:v>200</x:v>
      </x:c>
      <x:c r="J400" s="90" t="str">
        <x:v>{"access_token":"&lt;redacted&gt;","token_type":"bearer","expires_in":3600,"user":{"user_id":1,"email":"admin@grow8.dev","full_name":"Ada Admin","role":"admin"}}</x:v>
      </x:c>
      <x:c r="K400" s="89" t="str"/>
    </x:row>
    <x:row r="401" ht="35" customHeight="1">
      <x:c r="A401" s="89" t="str">
        <x:v>UCNT-004</x:v>
      </x:c>
      <x:c r="B401" s="89" t="str">
        <x:v>Unread Count</x:v>
      </x:c>
      <x:c r="C401" s="89" t="str">
        <x:v>Passed</x:v>
      </x:c>
      <x:c r="D401" s="89" t="n">
        <x:v>5</x:v>
      </x:c>
      <x:c r="E401" s="89" t="str">
        <x:v>GET</x:v>
      </x:c>
      <x:c r="F401" s="89" t="str">
        <x:v>/api/v1/notifications/unread-count</x:v>
      </x:c>
      <x:c r="G401" s="90" t="str">
        <x:v>null</x:v>
      </x:c>
      <x:c r="H401" s="90" t="str">
        <x:v>null</x:v>
      </x:c>
      <x:c r="I401" s="90" t="n">
        <x:v>200</x:v>
      </x:c>
      <x:c r="J401" s="90" t="str">
        <x:v>{"unread_count":1}</x:v>
      </x:c>
      <x:c r="K401" s="89" t="str">
        <x:v>Case duration 00:00:02</x:v>
      </x:c>
    </x:row>
    <x:row r="402" ht="35" customHeight="1">
      <x:c r="A402" s="89" t="str">
        <x:v>UCNT-005</x:v>
      </x:c>
      <x:c r="B402" s="89" t="str">
        <x:v>Unread Count</x:v>
      </x:c>
      <x:c r="C402" s="89" t="str">
        <x:v>Passed</x:v>
      </x:c>
      <x:c r="D402" s="89" t="n">
        <x:v>1</x:v>
      </x:c>
      <x:c r="E402" s="89" t="str">
        <x:v>POST</x:v>
      </x:c>
      <x:c r="F402" s="89" t="str">
        <x:v>/api/v1/auth/login</x:v>
      </x:c>
      <x:c r="G402" s="90" t="str">
        <x:v>null</x:v>
      </x:c>
      <x:c r="H402" s="90" t="str">
        <x:v>{"email":"alex.chen@grow8.dev","password":"&lt;redacted&gt;"}</x:v>
      </x:c>
      <x:c r="I402" s="90" t="n">
        <x:v>200</x:v>
      </x:c>
      <x:c r="J402" s="90" t="str">
        <x:v>{"access_token":"&lt;redacted&gt;","token_type":"bearer","expires_in":3600,"user":{"user_id":5,"email":"alex.chen@grow8.dev","full_name":"Alex Chen","role":"contributor"}}</x:v>
      </x:c>
      <x:c r="K402" s="89" t="str"/>
    </x:row>
    <x:row r="403" ht="35" customHeight="1">
      <x:c r="A403" s="89" t="str">
        <x:v>UCNT-005</x:v>
      </x:c>
      <x:c r="B403" s="89" t="str">
        <x:v>Unread Count</x:v>
      </x:c>
      <x:c r="C403" s="89" t="str">
        <x:v>Passed</x:v>
      </x:c>
      <x:c r="D403" s="89" t="n">
        <x:v>2</x:v>
      </x:c>
      <x:c r="E403" s="89" t="str">
        <x:v>GET</x:v>
      </x:c>
      <x:c r="F403" s="89" t="str">
        <x:v>/api/v1/notifications/unread-count</x:v>
      </x:c>
      <x:c r="G403" s="90" t="str">
        <x:v>null</x:v>
      </x:c>
      <x:c r="H403" s="90" t="str">
        <x:v>null</x:v>
      </x:c>
      <x:c r="I403" s="90" t="n">
        <x:v>401</x:v>
      </x:c>
      <x:c r="J403" s="90" t="str">
        <x:v>{"error":{"code":"AUTH_REQUIRED","message":"Authentication required"}}</x:v>
      </x:c>
      <x:c r="K403" s="89" t="str">
        <x:v>Case duration 693 ms</x:v>
      </x:c>
    </x:row>
    <x:row r="404" ht="35" customHeight="1">
      <x:c r="A404" s="89" t="str">
        <x:v>UCNT-006</x:v>
      </x:c>
      <x:c r="B404" s="89" t="str">
        <x:v>Unread Count</x:v>
      </x:c>
      <x:c r="C404" s="89" t="str">
        <x:v>Passed</x:v>
      </x:c>
      <x:c r="D404" s="89" t="n">
        <x:v>1</x:v>
      </x:c>
      <x:c r="E404" s="89" t="str">
        <x:v>POST</x:v>
      </x:c>
      <x:c r="F404" s="89" t="str">
        <x:v>/api/v1/auth/login</x:v>
      </x:c>
      <x:c r="G404" s="90" t="str">
        <x:v>null</x:v>
      </x:c>
      <x:c r="H404" s="90" t="str">
        <x:v>{"email":"alex.chen@grow8.dev","password":"&lt;redacted&gt;"}</x:v>
      </x:c>
      <x:c r="I404" s="90" t="n">
        <x:v>200</x:v>
      </x:c>
      <x:c r="J404" s="90" t="str">
        <x:v>{"access_token":"&lt;redacted&gt;","token_type":"bearer","expires_in":3600,"user":{"user_id":5,"email":"alex.chen@grow8.dev","full_name":"Alex Chen","role":"contributor"}}</x:v>
      </x:c>
      <x:c r="K404" s="89" t="str"/>
    </x:row>
    <x:row r="405" ht="35" customHeight="1">
      <x:c r="A405" s="89" t="str">
        <x:v>UCNT-006</x:v>
      </x:c>
      <x:c r="B405" s="89" t="str">
        <x:v>Unread Count</x:v>
      </x:c>
      <x:c r="C405" s="89" t="str">
        <x:v>Passed</x:v>
      </x:c>
      <x:c r="D405" s="89" t="n">
        <x:v>2</x:v>
      </x:c>
      <x:c r="E405" s="89" t="str">
        <x:v>GET</x:v>
      </x:c>
      <x:c r="F405" s="89" t="str">
        <x:v>/api/v1/notifications/unread-count</x:v>
      </x:c>
      <x:c r="G405" s="90" t="str">
        <x:v>null</x:v>
      </x:c>
      <x:c r="H405" s="90" t="str">
        <x:v>null</x:v>
      </x:c>
      <x:c r="I405" s="90" t="n">
        <x:v>401</x:v>
      </x:c>
      <x:c r="J405" s="90" t="str">
        <x:v>{"error":{"code":"INVALID_TOKEN","message":"Invalid or expired token"}}</x:v>
      </x:c>
      <x:c r="K405" s="89" t="str">
        <x:v>Case duration 621 ms</x:v>
      </x:c>
    </x:row>
    <x:row r="406" ht="35" customHeight="1">
      <x:c r="A406" s="89" t="str">
        <x:v>UCNT-007</x:v>
      </x:c>
      <x:c r="B406" s="89" t="str">
        <x:v>Unread Count</x:v>
      </x:c>
      <x:c r="C406" s="89" t="str">
        <x:v>Passed</x:v>
      </x:c>
      <x:c r="D406" s="89" t="n">
        <x:v>1</x:v>
      </x:c>
      <x:c r="E406" s="89" t="str">
        <x:v>POST</x:v>
      </x:c>
      <x:c r="F406" s="89" t="str">
        <x:v>/api/v1/auth/login</x:v>
      </x:c>
      <x:c r="G406" s="90" t="str">
        <x:v>null</x:v>
      </x:c>
      <x:c r="H406" s="90" t="str">
        <x:v>{"email":"alex.chen@grow8.dev","password":"&lt;redacted&gt;"}</x:v>
      </x:c>
      <x:c r="I406" s="90" t="n">
        <x:v>200</x:v>
      </x:c>
      <x:c r="J406" s="90" t="str">
        <x:v>{"access_token":"&lt;redacted&gt;","token_type":"bearer","expires_in":3600,"user":{"user_id":5,"email":"alex.chen@grow8.dev","full_name":"Alex Chen","role":"contributor"}}</x:v>
      </x:c>
      <x:c r="K406" s="89" t="str"/>
    </x:row>
    <x:row r="407" ht="35" customHeight="1">
      <x:c r="A407" s="89" t="str">
        <x:v>UCNT-007</x:v>
      </x:c>
      <x:c r="B407" s="89" t="str">
        <x:v>Unread Count</x:v>
      </x:c>
      <x:c r="C407" s="89" t="str">
        <x:v>Passed</x:v>
      </x:c>
      <x:c r="D407" s="89" t="n">
        <x:v>2</x:v>
      </x:c>
      <x:c r="E407" s="89" t="str">
        <x:v>GET</x:v>
      </x:c>
      <x:c r="F407" s="89" t="str">
        <x:v>/api/v1/notifications/unread-count</x:v>
      </x:c>
      <x:c r="G407" s="90" t="str">
        <x:v>null</x:v>
      </x:c>
      <x:c r="H407" s="90" t="str">
        <x:v>null</x:v>
      </x:c>
      <x:c r="I407" s="90" t="n">
        <x:v>200</x:v>
      </x:c>
      <x:c r="J407" s="90" t="str">
        <x:v>{"unread_count":3}</x:v>
      </x:c>
      <x:c r="K407" s="89" t="str"/>
    </x:row>
    <x:row r="408" ht="35" customHeight="1">
      <x:c r="A408" s="89" t="str">
        <x:v>UCNT-007</x:v>
      </x:c>
      <x:c r="B408" s="89" t="str">
        <x:v>Unread Count</x:v>
      </x:c>
      <x:c r="C408" s="89" t="str">
        <x:v>Passed</x:v>
      </x:c>
      <x:c r="D408" s="89" t="n">
        <x:v>3</x:v>
      </x:c>
      <x:c r="E408" s="89" t="str">
        <x:v>POST</x:v>
      </x:c>
      <x:c r="F408" s="89" t="str">
        <x:v>/api/v1/auth/login</x:v>
      </x:c>
      <x:c r="G408" s="90" t="str">
        <x:v>null</x:v>
      </x:c>
      <x:c r="H408" s="90" t="str">
        <x:v>{"email":"yyc.events@grow8.dev","password":"&lt;redacted&gt;"}</x:v>
      </x:c>
      <x:c r="I408" s="90" t="n">
        <x:v>200</x:v>
      </x:c>
      <x:c r="J408" s="90" t="str">
        <x:v>{"access_token":"&lt;redacted&gt;","token_type":"bearer","expires_in":3600,"user":{"user_id":4,"email":"yyc.events@grow8.dev","full_name":"Sofia Martinez","role":"creator"}}</x:v>
      </x:c>
      <x:c r="K408" s="89" t="str"/>
    </x:row>
    <x:row r="409" ht="35" customHeight="1">
      <x:c r="A409" s="89" t="str">
        <x:v>UCNT-007</x:v>
      </x:c>
      <x:c r="B409" s="89" t="str">
        <x:v>Unread Count</x:v>
      </x:c>
      <x:c r="C409" s="89" t="str">
        <x:v>Passed</x:v>
      </x:c>
      <x:c r="D409" s="89" t="n">
        <x:v>4</x:v>
      </x:c>
      <x:c r="E409" s="89" t="str">
        <x:v>GET</x:v>
      </x:c>
      <x:c r="F409" s="89" t="str">
        <x:v>/api/v1/notifications/unread-count</x:v>
      </x:c>
      <x:c r="G409" s="90" t="str">
        <x:v>null</x:v>
      </x:c>
      <x:c r="H409" s="90" t="str">
        <x:v>null</x:v>
      </x:c>
      <x:c r="I409" s="90" t="n">
        <x:v>200</x:v>
      </x:c>
      <x:c r="J409" s="90" t="str">
        <x:v>{"unread_count":1}</x:v>
      </x:c>
      <x:c r="K409" s="89" t="str">
        <x:v>Case duration 00:00:01</x:v>
      </x:c>
    </x:row>
    <x:row r="410" ht="35" customHeight="1">
      <x:c r="A410" s="89" t="str">
        <x:v>UCNT-008</x:v>
      </x:c>
      <x:c r="B410" s="89" t="str">
        <x:v>Unread Count</x:v>
      </x:c>
      <x:c r="C410" s="89" t="str">
        <x:v>Passed</x:v>
      </x:c>
      <x:c r="D410" s="89" t="n">
        <x:v>1</x:v>
      </x:c>
      <x:c r="E410" s="89" t="str">
        <x:v>POST</x:v>
      </x:c>
      <x:c r="F410" s="89" t="str">
        <x:v>/api/v1/auth/login</x:v>
      </x:c>
      <x:c r="G410" s="90" t="str">
        <x:v>null</x:v>
      </x:c>
      <x:c r="H410" s="90" t="str">
        <x:v>{"email":"alex.chen@grow8.dev","password":"&lt;redacted&gt;"}</x:v>
      </x:c>
      <x:c r="I410" s="90" t="n">
        <x:v>200</x:v>
      </x:c>
      <x:c r="J410" s="90" t="str">
        <x:v>{"access_token":"&lt;redacted&gt;","token_type":"bearer","expires_in":3600,"user":{"user_id":5,"email":"alex.chen@grow8.dev","full_name":"Alex Chen","role":"contributor"}}</x:v>
      </x:c>
      <x:c r="K410" s="89" t="str"/>
    </x:row>
    <x:row r="411" ht="35" customHeight="1">
      <x:c r="A411" s="89" t="str">
        <x:v>UCNT-008</x:v>
      </x:c>
      <x:c r="B411" s="89" t="str">
        <x:v>Unread Count</x:v>
      </x:c>
      <x:c r="C411" s="89" t="str">
        <x:v>Passed</x:v>
      </x:c>
      <x:c r="D411" s="89" t="n">
        <x:v>2</x:v>
      </x:c>
      <x:c r="E411" s="89" t="str">
        <x:v>GET</x:v>
      </x:c>
      <x:c r="F411" s="89" t="str">
        <x:v>/api/v1/notifications/unread-count</x:v>
      </x:c>
      <x:c r="G411" s="90" t="str">
        <x:v>null</x:v>
      </x:c>
      <x:c r="H411" s="90" t="str">
        <x:v>null</x:v>
      </x:c>
      <x:c r="I411" s="90" t="n">
        <x:v>200</x:v>
      </x:c>
      <x:c r="J411" s="90" t="str">
        <x:v>{"unread_count":3}</x:v>
      </x:c>
      <x:c r="K411" s="89" t="str"/>
    </x:row>
    <x:row r="412" ht="35" customHeight="1">
      <x:c r="A412" s="89" t="str">
        <x:v>UCNT-008</x:v>
      </x:c>
      <x:c r="B412" s="89" t="str">
        <x:v>Unread Count</x:v>
      </x:c>
      <x:c r="C412" s="89" t="str">
        <x:v>Passed</x:v>
      </x:c>
      <x:c r="D412" s="89" t="n">
        <x:v>3</x:v>
      </x:c>
      <x:c r="E412" s="89" t="str">
        <x:v>PATCH</x:v>
      </x:c>
      <x:c r="F412" s="89" t="str">
        <x:v>/api/v1/notifications/105/read</x:v>
      </x:c>
      <x:c r="G412" s="90" t="str">
        <x:v>null</x:v>
      </x:c>
      <x:c r="H412" s="90" t="str">
        <x:v>null</x:v>
      </x:c>
      <x:c r="I412" s="90" t="n">
        <x:v>200</x:v>
      </x:c>
      <x:c r="J412" s="90" t="str">
        <x:v>{"notification_id":105,"notification_type":"opportunity_created","title":"middle","message":"QA fixture notification","opportunity_id":15,"read_at":"2026-10-28T06:04:11Z","created_at":"2026-10-12T09:00:00Z","is_read":true}</x:v>
      </x:c>
      <x:c r="K412" s="89" t="str"/>
    </x:row>
    <x:row r="413" ht="35" customHeight="1">
      <x:c r="A413" s="89" t="str">
        <x:v>UCNT-008</x:v>
      </x:c>
      <x:c r="B413" s="89" t="str">
        <x:v>Unread Count</x:v>
      </x:c>
      <x:c r="C413" s="89" t="str">
        <x:v>Passed</x:v>
      </x:c>
      <x:c r="D413" s="89" t="n">
        <x:v>4</x:v>
      </x:c>
      <x:c r="E413" s="89" t="str">
        <x:v>GET</x:v>
      </x:c>
      <x:c r="F413" s="89" t="str">
        <x:v>/api/v1/notifications/unread-count</x:v>
      </x:c>
      <x:c r="G413" s="90" t="str">
        <x:v>null</x:v>
      </x:c>
      <x:c r="H413" s="90" t="str">
        <x:v>null</x:v>
      </x:c>
      <x:c r="I413" s="90" t="n">
        <x:v>200</x:v>
      </x:c>
      <x:c r="J413" s="90" t="str">
        <x:v>{"unread_count":2}</x:v>
      </x:c>
      <x:c r="K413" s="89" t="str">
        <x:v>Case duration 733 ms</x:v>
      </x:c>
    </x:row>
    <x:row r="414" ht="35" customHeight="1">
      <x:c r="A414" s="89" t="str">
        <x:v>READ-001</x:v>
      </x:c>
      <x:c r="B414" s="89" t="str">
        <x:v>Mark Notification Read</x:v>
      </x:c>
      <x:c r="C414" s="89" t="str">
        <x:v>Passed</x:v>
      </x:c>
      <x:c r="D414" s="89" t="n">
        <x:v>1</x:v>
      </x:c>
      <x:c r="E414" s="89" t="str">
        <x:v>POST</x:v>
      </x:c>
      <x:c r="F414" s="89" t="str">
        <x:v>/api/v1/auth/login</x:v>
      </x:c>
      <x:c r="G414" s="90" t="str">
        <x:v>null</x:v>
      </x:c>
      <x:c r="H414" s="90" t="str">
        <x:v>{"email":"alex.chen@grow8.dev","password":"&lt;redacted&gt;"}</x:v>
      </x:c>
      <x:c r="I414" s="90" t="n">
        <x:v>200</x:v>
      </x:c>
      <x:c r="J414" s="90" t="str">
        <x:v>{"access_token":"&lt;redacted&gt;","token_type":"bearer","expires_in":3600,"user":{"user_id":5,"email":"alex.chen@grow8.dev","full_name":"Alex Chen","role":"contributor"}}</x:v>
      </x:c>
      <x:c r="K414" s="89" t="str"/>
    </x:row>
    <x:row r="415" ht="35" customHeight="1">
      <x:c r="A415" s="89" t="str">
        <x:v>READ-001</x:v>
      </x:c>
      <x:c r="B415" s="89" t="str">
        <x:v>Mark Notification Read</x:v>
      </x:c>
      <x:c r="C415" s="89" t="str">
        <x:v>Passed</x:v>
      </x:c>
      <x:c r="D415" s="89" t="n">
        <x:v>2</x:v>
      </x:c>
      <x:c r="E415" s="89" t="str">
        <x:v>PATCH</x:v>
      </x:c>
      <x:c r="F415" s="89" t="str">
        <x:v>/api/v1/notifications/112/read</x:v>
      </x:c>
      <x:c r="G415" s="90" t="str">
        <x:v>null</x:v>
      </x:c>
      <x:c r="H415" s="90" t="str">
        <x:v>null</x:v>
      </x:c>
      <x:c r="I415" s="90" t="n">
        <x:v>200</x:v>
      </x:c>
      <x:c r="J415" s="90" t="str">
        <x:v>{"notification_id":112,"notification_type":"opportunity_created","title":"newest","message":"QA fixture notification","opportunity_id":15,"read_at":"2026-10-28T06:04:12Z","created_at":"2026-10-13T09:00:00Z","is_read":true}</x:v>
      </x:c>
      <x:c r="K415" s="89" t="str">
        <x:v>Case duration 771 ms</x:v>
      </x:c>
    </x:row>
    <x:row r="416" ht="35" customHeight="1">
      <x:c r="A416" s="89" t="str">
        <x:v>READ-002</x:v>
      </x:c>
      <x:c r="B416" s="89" t="str">
        <x:v>Mark Notification Read</x:v>
      </x:c>
      <x:c r="C416" s="89" t="str">
        <x:v>Passed</x:v>
      </x:c>
      <x:c r="D416" s="89" t="n">
        <x:v>1</x:v>
      </x:c>
      <x:c r="E416" s="89" t="str">
        <x:v>POST</x:v>
      </x:c>
      <x:c r="F416" s="89" t="str">
        <x:v>/api/v1/auth/login</x:v>
      </x:c>
      <x:c r="G416" s="90" t="str">
        <x:v>null</x:v>
      </x:c>
      <x:c r="H416" s="90" t="str">
        <x:v>{"email":"alex.chen@grow8.dev","password":"&lt;redacted&gt;"}</x:v>
      </x:c>
      <x:c r="I416" s="90" t="n">
        <x:v>200</x:v>
      </x:c>
      <x:c r="J416" s="90" t="str">
        <x:v>{"access_token":"&lt;redacted&gt;","token_type":"bearer","expires_in":3600,"user":{"user_id":5,"email":"alex.chen@grow8.dev","full_name":"Alex Chen","role":"contributor"}}</x:v>
      </x:c>
      <x:c r="K416" s="89" t="str"/>
    </x:row>
    <x:row r="417" ht="35" customHeight="1">
      <x:c r="A417" s="89" t="str">
        <x:v>READ-002</x:v>
      </x:c>
      <x:c r="B417" s="89" t="str">
        <x:v>Mark Notification Read</x:v>
      </x:c>
      <x:c r="C417" s="89" t="str">
        <x:v>Passed</x:v>
      </x:c>
      <x:c r="D417" s="89" t="n">
        <x:v>2</x:v>
      </x:c>
      <x:c r="E417" s="89" t="str">
        <x:v>POST</x:v>
      </x:c>
      <x:c r="F417" s="89" t="str">
        <x:v>/api/v1/auth/login</x:v>
      </x:c>
      <x:c r="G417" s="90" t="str">
        <x:v>null</x:v>
      </x:c>
      <x:c r="H417" s="90" t="str">
        <x:v>{"email":"alex.chen@grow8.dev","password":"&lt;redacted&gt;"}</x:v>
      </x:c>
      <x:c r="I417" s="90" t="n">
        <x:v>200</x:v>
      </x:c>
      <x:c r="J417" s="90" t="str">
        <x:v>{"access_token":"&lt;redacted&gt;","token_type":"bearer","expires_in":3600,"user":{"user_id":5,"email":"alex.chen@grow8.dev","full_name":"Alex Chen","role":"contributor"}}</x:v>
      </x:c>
      <x:c r="K417" s="89" t="str"/>
    </x:row>
    <x:row r="418" ht="35" customHeight="1">
      <x:c r="A418" s="89" t="str">
        <x:v>READ-002</x:v>
      </x:c>
      <x:c r="B418" s="89" t="str">
        <x:v>Mark Notification Read</x:v>
      </x:c>
      <x:c r="C418" s="89" t="str">
        <x:v>Passed</x:v>
      </x:c>
      <x:c r="D418" s="89" t="n">
        <x:v>3</x:v>
      </x:c>
      <x:c r="E418" s="89" t="str">
        <x:v>PATCH</x:v>
      </x:c>
      <x:c r="F418" s="89" t="str">
        <x:v>/api/v1/notifications/118/read</x:v>
      </x:c>
      <x:c r="G418" s="90" t="str">
        <x:v>null</x:v>
      </x:c>
      <x:c r="H418" s="90" t="str">
        <x:v>null</x:v>
      </x:c>
      <x:c r="I418" s="90" t="n">
        <x:v>200</x:v>
      </x:c>
      <x:c r="J418" s="90" t="str">
        <x:v>{"notification_id":118,"notification_type":"opportunity_created","title":"newest","message":"QA fixture notification","opportunity_id":15,"read_at":"2026-10-28T06:04:13Z","created_at":"2026-10-13T09:00:00Z","is_read":true}</x:v>
      </x:c>
      <x:c r="K418" s="89" t="str"/>
    </x:row>
    <x:row r="419" ht="35" customHeight="1">
      <x:c r="A419" s="89" t="str">
        <x:v>READ-002</x:v>
      </x:c>
      <x:c r="B419" s="89" t="str">
        <x:v>Mark Notification Read</x:v>
      </x:c>
      <x:c r="C419" s="89" t="str">
        <x:v>Passed</x:v>
      </x:c>
      <x:c r="D419" s="89" t="n">
        <x:v>4</x:v>
      </x:c>
      <x:c r="E419" s="89" t="str">
        <x:v>POST</x:v>
      </x:c>
      <x:c r="F419" s="89" t="str">
        <x:v>/api/v1/auth/login</x:v>
      </x:c>
      <x:c r="G419" s="90" t="str">
        <x:v>null</x:v>
      </x:c>
      <x:c r="H419" s="90" t="str">
        <x:v>{"email":"yyc.events@grow8.dev","password":"&lt;redacted&gt;"}</x:v>
      </x:c>
      <x:c r="I419" s="90" t="n">
        <x:v>200</x:v>
      </x:c>
      <x:c r="J419" s="90" t="str">
        <x:v>{"access_token":"&lt;redacted&gt;","token_type":"bearer","expires_in":3600,"user":{"user_id":4,"email":"yyc.events@grow8.dev","full_name":"Sofia Martinez","role":"creator"}}</x:v>
      </x:c>
      <x:c r="K419" s="89" t="str"/>
    </x:row>
    <x:row r="420" ht="35" customHeight="1">
      <x:c r="A420" s="89" t="str">
        <x:v>READ-002</x:v>
      </x:c>
      <x:c r="B420" s="89" t="str">
        <x:v>Mark Notification Read</x:v>
      </x:c>
      <x:c r="C420" s="89" t="str">
        <x:v>Passed</x:v>
      </x:c>
      <x:c r="D420" s="89" t="n">
        <x:v>5</x:v>
      </x:c>
      <x:c r="E420" s="89" t="str">
        <x:v>PATCH</x:v>
      </x:c>
      <x:c r="F420" s="89" t="str">
        <x:v>/api/v1/notifications/119/read</x:v>
      </x:c>
      <x:c r="G420" s="90" t="str">
        <x:v>null</x:v>
      </x:c>
      <x:c r="H420" s="90" t="str">
        <x:v>null</x:v>
      </x:c>
      <x:c r="I420" s="90" t="n">
        <x:v>200</x:v>
      </x:c>
      <x:c r="J420" s="90" t="str">
        <x:v>{"notification_id":119,"notification_type":"opportunity_created","title":"sofia","message":"QA fixture notification","opportunity_id":15,"read_at":"2026-10-28T06:04:13Z","created_at":"2026-10-13T09:00:00Z","is_read":true}</x:v>
      </x:c>
      <x:c r="K420" s="89" t="str"/>
    </x:row>
    <x:row r="421" ht="35" customHeight="1">
      <x:c r="A421" s="89" t="str">
        <x:v>READ-002</x:v>
      </x:c>
      <x:c r="B421" s="89" t="str">
        <x:v>Mark Notification Read</x:v>
      </x:c>
      <x:c r="C421" s="89" t="str">
        <x:v>Passed</x:v>
      </x:c>
      <x:c r="D421" s="89" t="n">
        <x:v>6</x:v>
      </x:c>
      <x:c r="E421" s="89" t="str">
        <x:v>POST</x:v>
      </x:c>
      <x:c r="F421" s="89" t="str">
        <x:v>/api/v1/auth/login</x:v>
      </x:c>
      <x:c r="G421" s="90" t="str">
        <x:v>null</x:v>
      </x:c>
      <x:c r="H421" s="90" t="str">
        <x:v>{"email":"admin@grow8.dev","password":"&lt;redacted&gt;"}</x:v>
      </x:c>
      <x:c r="I421" s="90" t="n">
        <x:v>200</x:v>
      </x:c>
      <x:c r="J421" s="90" t="str">
        <x:v>{"access_token":"&lt;redacted&gt;","token_type":"bearer","expires_in":3600,"user":{"user_id":1,"email":"admin@grow8.dev","full_name":"Ada Admin","role":"admin"}}</x:v>
      </x:c>
      <x:c r="K421" s="89" t="str"/>
    </x:row>
    <x:row r="422" ht="35" customHeight="1">
      <x:c r="A422" s="89" t="str">
        <x:v>READ-002</x:v>
      </x:c>
      <x:c r="B422" s="89" t="str">
        <x:v>Mark Notification Read</x:v>
      </x:c>
      <x:c r="C422" s="89" t="str">
        <x:v>Passed</x:v>
      </x:c>
      <x:c r="D422" s="89" t="n">
        <x:v>7</x:v>
      </x:c>
      <x:c r="E422" s="89" t="str">
        <x:v>PATCH</x:v>
      </x:c>
      <x:c r="F422" s="89" t="str">
        <x:v>/api/v1/notifications/120/read</x:v>
      </x:c>
      <x:c r="G422" s="90" t="str">
        <x:v>null</x:v>
      </x:c>
      <x:c r="H422" s="90" t="str">
        <x:v>null</x:v>
      </x:c>
      <x:c r="I422" s="90" t="n">
        <x:v>200</x:v>
      </x:c>
      <x:c r="J422" s="90" t="str">
        <x:v>{"notification_id":120,"notification_type":"opportunity_created","title":"admin","message":"QA fixture notification","opportunity_id":15,"read_at":"2026-10-28T06:04:14Z","created_at":"2026-10-13T09:00:00Z","is_read":true}</x:v>
      </x:c>
      <x:c r="K422" s="89" t="str"/>
    </x:row>
    <x:row r="423" ht="35" customHeight="1">
      <x:c r="A423" s="89" t="str">
        <x:v>READ-002</x:v>
      </x:c>
      <x:c r="B423" s="89" t="str">
        <x:v>Mark Notification Read</x:v>
      </x:c>
      <x:c r="C423" s="89" t="str">
        <x:v>Passed</x:v>
      </x:c>
      <x:c r="D423" s="89" t="n">
        <x:v>8</x:v>
      </x:c>
      <x:c r="E423" s="89" t="str">
        <x:v>GET</x:v>
      </x:c>
      <x:c r="F423" s="89" t="str">
        <x:v>/api/v1/notifications/unread-count</x:v>
      </x:c>
      <x:c r="G423" s="90" t="str">
        <x:v>null</x:v>
      </x:c>
      <x:c r="H423" s="90" t="str">
        <x:v>null</x:v>
      </x:c>
      <x:c r="I423" s="90" t="n">
        <x:v>200</x:v>
      </x:c>
      <x:c r="J423" s="90" t="str">
        <x:v>{"unread_count":2}</x:v>
      </x:c>
      <x:c r="K423" s="89" t="str"/>
    </x:row>
    <x:row r="424" ht="35" customHeight="1">
      <x:c r="A424" s="89" t="str">
        <x:v>READ-002</x:v>
      </x:c>
      <x:c r="B424" s="89" t="str">
        <x:v>Mark Notification Read</x:v>
      </x:c>
      <x:c r="C424" s="89" t="str">
        <x:v>Passed</x:v>
      </x:c>
      <x:c r="D424" s="89" t="n">
        <x:v>9</x:v>
      </x:c>
      <x:c r="E424" s="89" t="str">
        <x:v>POST</x:v>
      </x:c>
      <x:c r="F424" s="89" t="str">
        <x:v>/api/v1/auth/login</x:v>
      </x:c>
      <x:c r="G424" s="90" t="str">
        <x:v>null</x:v>
      </x:c>
      <x:c r="H424" s="90" t="str">
        <x:v>{"email":"yyc.events@grow8.dev","password":"&lt;redacted&gt;"}</x:v>
      </x:c>
      <x:c r="I424" s="90" t="n">
        <x:v>200</x:v>
      </x:c>
      <x:c r="J424" s="90" t="str">
        <x:v>{"access_token":"&lt;redacted&gt;","token_type":"bearer","expires_in":3600,"user":{"user_id":4,"email":"yyc.events@grow8.dev","full_name":"Sofia Martinez","role":"creator"}}</x:v>
      </x:c>
      <x:c r="K424" s="89" t="str"/>
    </x:row>
    <x:row r="425" ht="35" customHeight="1">
      <x:c r="A425" s="89" t="str">
        <x:v>READ-002</x:v>
      </x:c>
      <x:c r="B425" s="89" t="str">
        <x:v>Mark Notification Read</x:v>
      </x:c>
      <x:c r="C425" s="89" t="str">
        <x:v>Passed</x:v>
      </x:c>
      <x:c r="D425" s="89" t="n">
        <x:v>10</x:v>
      </x:c>
      <x:c r="E425" s="89" t="str">
        <x:v>GET</x:v>
      </x:c>
      <x:c r="F425" s="89" t="str">
        <x:v>/api/v1/notifications/unread-count</x:v>
      </x:c>
      <x:c r="G425" s="90" t="str">
        <x:v>null</x:v>
      </x:c>
      <x:c r="H425" s="90" t="str">
        <x:v>null</x:v>
      </x:c>
      <x:c r="I425" s="90" t="n">
        <x:v>200</x:v>
      </x:c>
      <x:c r="J425" s="90" t="str">
        <x:v>{"unread_count":0}</x:v>
      </x:c>
      <x:c r="K425" s="89" t="str"/>
    </x:row>
    <x:row r="426" ht="35" customHeight="1">
      <x:c r="A426" s="89" t="str">
        <x:v>READ-002</x:v>
      </x:c>
      <x:c r="B426" s="89" t="str">
        <x:v>Mark Notification Read</x:v>
      </x:c>
      <x:c r="C426" s="89" t="str">
        <x:v>Passed</x:v>
      </x:c>
      <x:c r="D426" s="89" t="n">
        <x:v>11</x:v>
      </x:c>
      <x:c r="E426" s="89" t="str">
        <x:v>POST</x:v>
      </x:c>
      <x:c r="F426" s="89" t="str">
        <x:v>/api/v1/auth/login</x:v>
      </x:c>
      <x:c r="G426" s="90" t="str">
        <x:v>null</x:v>
      </x:c>
      <x:c r="H426" s="90" t="str">
        <x:v>{"email":"admin@grow8.dev","password":"&lt;redacted&gt;"}</x:v>
      </x:c>
      <x:c r="I426" s="90" t="n">
        <x:v>200</x:v>
      </x:c>
      <x:c r="J426" s="90" t="str">
        <x:v>{"access_token":"&lt;redacted&gt;","token_type":"bearer","expires_in":3600,"user":{"user_id":1,"email":"admin@grow8.dev","full_name":"Ada Admin","role":"admin"}}</x:v>
      </x:c>
      <x:c r="K426" s="89" t="str"/>
    </x:row>
    <x:row r="427" ht="35" customHeight="1">
      <x:c r="A427" s="89" t="str">
        <x:v>READ-002</x:v>
      </x:c>
      <x:c r="B427" s="89" t="str">
        <x:v>Mark Notification Read</x:v>
      </x:c>
      <x:c r="C427" s="89" t="str">
        <x:v>Passed</x:v>
      </x:c>
      <x:c r="D427" s="89" t="n">
        <x:v>12</x:v>
      </x:c>
      <x:c r="E427" s="89" t="str">
        <x:v>GET</x:v>
      </x:c>
      <x:c r="F427" s="89" t="str">
        <x:v>/api/v1/notifications/unread-count</x:v>
      </x:c>
      <x:c r="G427" s="90" t="str">
        <x:v>null</x:v>
      </x:c>
      <x:c r="H427" s="90" t="str">
        <x:v>null</x:v>
      </x:c>
      <x:c r="I427" s="90" t="n">
        <x:v>200</x:v>
      </x:c>
      <x:c r="J427" s="90" t="str">
        <x:v>{"unread_count":0}</x:v>
      </x:c>
      <x:c r="K427" s="89" t="str">
        <x:v>Case duration 00:00:03</x:v>
      </x:c>
    </x:row>
    <x:row r="428" ht="35" customHeight="1">
      <x:c r="A428" s="89" t="str">
        <x:v>READ-003</x:v>
      </x:c>
      <x:c r="B428" s="89" t="str">
        <x:v>Mark Notification Read</x:v>
      </x:c>
      <x:c r="C428" s="89" t="str">
        <x:v>Passed</x:v>
      </x:c>
      <x:c r="D428" s="89" t="n">
        <x:v>1</x:v>
      </x:c>
      <x:c r="E428" s="89" t="str">
        <x:v>POST</x:v>
      </x:c>
      <x:c r="F428" s="89" t="str">
        <x:v>/api/v1/auth/login</x:v>
      </x:c>
      <x:c r="G428" s="90" t="str">
        <x:v>null</x:v>
      </x:c>
      <x:c r="H428" s="90" t="str">
        <x:v>{"email":"alex.chen@grow8.dev","password":"&lt;redacted&gt;"}</x:v>
      </x:c>
      <x:c r="I428" s="90" t="n">
        <x:v>200</x:v>
      </x:c>
      <x:c r="J428" s="90" t="str">
        <x:v>{"access_token":"&lt;redacted&gt;","token_type":"bearer","expires_in":3600,"user":{"user_id":5,"email":"alex.chen@grow8.dev","full_name":"Alex Chen","role":"contributor"}}</x:v>
      </x:c>
      <x:c r="K428" s="89" t="str"/>
    </x:row>
    <x:row r="429" ht="35" customHeight="1">
      <x:c r="A429" s="89" t="str">
        <x:v>READ-003</x:v>
      </x:c>
      <x:c r="B429" s="89" t="str">
        <x:v>Mark Notification Read</x:v>
      </x:c>
      <x:c r="C429" s="89" t="str">
        <x:v>Passed</x:v>
      </x:c>
      <x:c r="D429" s="89" t="n">
        <x:v>2</x:v>
      </x:c>
      <x:c r="E429" s="89" t="str">
        <x:v>PATCH</x:v>
      </x:c>
      <x:c r="F429" s="89" t="str">
        <x:v>/api/v1/notifications/124/read</x:v>
      </x:c>
      <x:c r="G429" s="90" t="str">
        <x:v>null</x:v>
      </x:c>
      <x:c r="H429" s="90" t="str">
        <x:v>null</x:v>
      </x:c>
      <x:c r="I429" s="90" t="n">
        <x:v>200</x:v>
      </x:c>
      <x:c r="J429" s="90" t="str">
        <x:v>{"notification_id":124,"notification_type":"opportunity_created","title":"newest","message":"QA fixture notification","opportunity_id":15,"read_at":"2026-10-28T06:04:16Z","created_at":"2026-10-13T09:00:00Z","is_read":true}</x:v>
      </x:c>
      <x:c r="K429" s="89" t="str"/>
    </x:row>
    <x:row r="430" ht="35" customHeight="1">
      <x:c r="A430" s="89" t="str">
        <x:v>READ-003</x:v>
      </x:c>
      <x:c r="B430" s="89" t="str">
        <x:v>Mark Notification Read</x:v>
      </x:c>
      <x:c r="C430" s="89" t="str">
        <x:v>Passed</x:v>
      </x:c>
      <x:c r="D430" s="89" t="n">
        <x:v>3</x:v>
      </x:c>
      <x:c r="E430" s="89" t="str">
        <x:v>PATCH</x:v>
      </x:c>
      <x:c r="F430" s="89" t="str">
        <x:v>/api/v1/notifications/124/read</x:v>
      </x:c>
      <x:c r="G430" s="90" t="str">
        <x:v>null</x:v>
      </x:c>
      <x:c r="H430" s="90" t="str">
        <x:v>null</x:v>
      </x:c>
      <x:c r="I430" s="90" t="n">
        <x:v>200</x:v>
      </x:c>
      <x:c r="J430" s="90" t="str">
        <x:v>{"notification_id":124,"notification_type":"opportunity_created","title":"newest","message":"QA fixture notification","opportunity_id":15,"read_at":"2026-10-28T06:04:16Z","created_at":"2026-10-13T09:00:00Z","is_read":true}</x:v>
      </x:c>
      <x:c r="K430" s="89" t="str"/>
    </x:row>
    <x:row r="431" ht="35" customHeight="1">
      <x:c r="A431" s="89" t="str">
        <x:v>READ-003</x:v>
      </x:c>
      <x:c r="B431" s="89" t="str">
        <x:v>Mark Notification Read</x:v>
      </x:c>
      <x:c r="C431" s="89" t="str">
        <x:v>Passed</x:v>
      </x:c>
      <x:c r="D431" s="89" t="n">
        <x:v>4</x:v>
      </x:c>
      <x:c r="E431" s="89" t="str">
        <x:v>GET</x:v>
      </x:c>
      <x:c r="F431" s="89" t="str">
        <x:v>/api/v1/notifications/unread-count</x:v>
      </x:c>
      <x:c r="G431" s="90" t="str">
        <x:v>null</x:v>
      </x:c>
      <x:c r="H431" s="90" t="str">
        <x:v>null</x:v>
      </x:c>
      <x:c r="I431" s="90" t="n">
        <x:v>200</x:v>
      </x:c>
      <x:c r="J431" s="90" t="str">
        <x:v>{"unread_count":2}</x:v>
      </x:c>
      <x:c r="K431" s="89" t="str">
        <x:v>Case duration 763 ms</x:v>
      </x:c>
    </x:row>
    <x:row r="432" ht="35" customHeight="1">
      <x:c r="A432" s="89" t="str">
        <x:v>READ-004</x:v>
      </x:c>
      <x:c r="B432" s="89" t="str">
        <x:v>Mark Notification Read</x:v>
      </x:c>
      <x:c r="C432" s="89" t="str">
        <x:v>Passed</x:v>
      </x:c>
      <x:c r="D432" s="89" t="n">
        <x:v>1</x:v>
      </x:c>
      <x:c r="E432" s="89" t="str">
        <x:v>POST</x:v>
      </x:c>
      <x:c r="F432" s="89" t="str">
        <x:v>/api/v1/auth/login</x:v>
      </x:c>
      <x:c r="G432" s="90" t="str">
        <x:v>null</x:v>
      </x:c>
      <x:c r="H432" s="90" t="str">
        <x:v>{"email":"alex.chen@grow8.dev","password":"&lt;redacted&gt;"}</x:v>
      </x:c>
      <x:c r="I432" s="90" t="n">
        <x:v>200</x:v>
      </x:c>
      <x:c r="J432" s="90" t="str">
        <x:v>{"access_token":"&lt;redacted&gt;","token_type":"bearer","expires_in":3600,"user":{"user_id":5,"email":"alex.chen@grow8.dev","full_name":"Alex Chen","role":"contributor"}}</x:v>
      </x:c>
      <x:c r="K432" s="89" t="str"/>
    </x:row>
    <x:row r="433" ht="35" customHeight="1">
      <x:c r="A433" s="89" t="str">
        <x:v>READ-004</x:v>
      </x:c>
      <x:c r="B433" s="89" t="str">
        <x:v>Mark Notification Read</x:v>
      </x:c>
      <x:c r="C433" s="89" t="str">
        <x:v>Passed</x:v>
      </x:c>
      <x:c r="D433" s="89" t="n">
        <x:v>2</x:v>
      </x:c>
      <x:c r="E433" s="89" t="str">
        <x:v>PATCH</x:v>
      </x:c>
      <x:c r="F433" s="89" t="str">
        <x:v>/api/v1/notifications/128/read</x:v>
      </x:c>
      <x:c r="G433" s="90" t="str">
        <x:v>null</x:v>
      </x:c>
      <x:c r="H433" s="90" t="str">
        <x:v>null</x:v>
      </x:c>
      <x:c r="I433" s="90" t="n">
        <x:v>200</x:v>
      </x:c>
      <x:c r="J433" s="90" t="str">
        <x:v>{"notification_id":128,"notification_type":"opportunity_created","title":"read","message":"QA fixture notification","opportunity_id":15,"read_at":"2026-10-11T10:00:00Z","created_at":"2026-10-11T09:00:00Z","is_read":true}</x:v>
      </x:c>
      <x:c r="K433" s="89" t="str">
        <x:v>Case duration 706 ms</x:v>
      </x:c>
    </x:row>
    <x:row r="434" ht="35" customHeight="1">
      <x:c r="A434" s="89" t="str">
        <x:v>READ-005</x:v>
      </x:c>
      <x:c r="B434" s="89" t="str">
        <x:v>Mark Notification Read</x:v>
      </x:c>
      <x:c r="C434" s="89" t="str">
        <x:v>Passed</x:v>
      </x:c>
      <x:c r="D434" s="89" t="n">
        <x:v>1</x:v>
      </x:c>
      <x:c r="E434" s="89" t="str">
        <x:v>POST</x:v>
      </x:c>
      <x:c r="F434" s="89" t="str">
        <x:v>/api/v1/auth/login</x:v>
      </x:c>
      <x:c r="G434" s="90" t="str">
        <x:v>null</x:v>
      </x:c>
      <x:c r="H434" s="90" t="str">
        <x:v>{"email":"alex.chen@grow8.dev","password":"&lt;redacted&gt;"}</x:v>
      </x:c>
      <x:c r="I434" s="90" t="n">
        <x:v>200</x:v>
      </x:c>
      <x:c r="J434" s="90" t="str">
        <x:v>{"access_token":"&lt;redacted&gt;","token_type":"bearer","expires_in":3600,"user":{"user_id":5,"email":"alex.chen@grow8.dev","full_name":"Alex Chen","role":"contributor"}}</x:v>
      </x:c>
      <x:c r="K434" s="89" t="str"/>
    </x:row>
    <x:row r="435" ht="35" customHeight="1">
      <x:c r="A435" s="89" t="str">
        <x:v>READ-005</x:v>
      </x:c>
      <x:c r="B435" s="89" t="str">
        <x:v>Mark Notification Read</x:v>
      </x:c>
      <x:c r="C435" s="89" t="str">
        <x:v>Passed</x:v>
      </x:c>
      <x:c r="D435" s="89" t="n">
        <x:v>2</x:v>
      </x:c>
      <x:c r="E435" s="89" t="str">
        <x:v>GET</x:v>
      </x:c>
      <x:c r="F435" s="89" t="str">
        <x:v>/api/v1/notifications/unread-count</x:v>
      </x:c>
      <x:c r="G435" s="90" t="str">
        <x:v>null</x:v>
      </x:c>
      <x:c r="H435" s="90" t="str">
        <x:v>null</x:v>
      </x:c>
      <x:c r="I435" s="90" t="n">
        <x:v>200</x:v>
      </x:c>
      <x:c r="J435" s="90" t="str">
        <x:v>{"unread_count":3}</x:v>
      </x:c>
      <x:c r="K435" s="89" t="str"/>
    </x:row>
    <x:row r="436" ht="35" customHeight="1">
      <x:c r="A436" s="89" t="str">
        <x:v>READ-005</x:v>
      </x:c>
      <x:c r="B436" s="89" t="str">
        <x:v>Mark Notification Read</x:v>
      </x:c>
      <x:c r="C436" s="89" t="str">
        <x:v>Passed</x:v>
      </x:c>
      <x:c r="D436" s="89" t="n">
        <x:v>3</x:v>
      </x:c>
      <x:c r="E436" s="89" t="str">
        <x:v>PATCH</x:v>
      </x:c>
      <x:c r="F436" s="89" t="str">
        <x:v>/api/v1/notifications/135/read</x:v>
      </x:c>
      <x:c r="G436" s="90" t="str">
        <x:v>null</x:v>
      </x:c>
      <x:c r="H436" s="90" t="str">
        <x:v>null</x:v>
      </x:c>
      <x:c r="I436" s="90" t="n">
        <x:v>200</x:v>
      </x:c>
      <x:c r="J436" s="90" t="str">
        <x:v>{"notification_id":135,"notification_type":"opportunity_created","title":"middle","message":"QA fixture notification","opportunity_id":15,"read_at":"2026-10-28T06:04:17Z","created_at":"2026-10-12T09:00:00Z","is_read":true}</x:v>
      </x:c>
      <x:c r="K436" s="89" t="str"/>
    </x:row>
    <x:row r="437" ht="35" customHeight="1">
      <x:c r="A437" s="89" t="str">
        <x:v>READ-005</x:v>
      </x:c>
      <x:c r="B437" s="89" t="str">
        <x:v>Mark Notification Read</x:v>
      </x:c>
      <x:c r="C437" s="89" t="str">
        <x:v>Passed</x:v>
      </x:c>
      <x:c r="D437" s="89" t="n">
        <x:v>4</x:v>
      </x:c>
      <x:c r="E437" s="89" t="str">
        <x:v>GET</x:v>
      </x:c>
      <x:c r="F437" s="89" t="str">
        <x:v>/api/v1/notifications/unread-count</x:v>
      </x:c>
      <x:c r="G437" s="90" t="str">
        <x:v>null</x:v>
      </x:c>
      <x:c r="H437" s="90" t="str">
        <x:v>null</x:v>
      </x:c>
      <x:c r="I437" s="90" t="n">
        <x:v>200</x:v>
      </x:c>
      <x:c r="J437" s="90" t="str">
        <x:v>{"unread_count":2}</x:v>
      </x:c>
      <x:c r="K437" s="89" t="str"/>
    </x:row>
    <x:row r="438" ht="35" customHeight="1">
      <x:c r="A438" s="89" t="str">
        <x:v>READ-005</x:v>
      </x:c>
      <x:c r="B438" s="89" t="str">
        <x:v>Mark Notification Read</x:v>
      </x:c>
      <x:c r="C438" s="89" t="str">
        <x:v>Passed</x:v>
      </x:c>
      <x:c r="D438" s="89" t="n">
        <x:v>5</x:v>
      </x:c>
      <x:c r="E438" s="89" t="str">
        <x:v>GET</x:v>
      </x:c>
      <x:c r="F438" s="89" t="str">
        <x:v>/api/v1/notifications</x:v>
      </x:c>
      <x:c r="G438" s="90" t="str">
        <x:v>null</x:v>
      </x:c>
      <x:c r="H438" s="90" t="str">
        <x:v>null</x:v>
      </x:c>
      <x:c r="I438" s="90" t="n">
        <x:v>200</x:v>
      </x:c>
      <x:c r="J438" s="90" t="str">
        <x:v>{"items":[{"notification_id":136,"notification_type":"opportunity_created","title":"newest","message":"QA fixture notification","opportunity_id":15,"read_at":null,"created_at":"2026-10-13T09:00:00Z","is_read":false},{"notification_id":135,"notification_type":"opportunity_created","title":"middle","message":"QA fixture notification","opportunity_id":15,"read_at":"2026-10-28T06:04:17Z","created_at":"2026-10-12T09:00:00Z","is_read":true},{"notification_id":134,"notification_type":"opportunity_created","title":"read","message":"QA fixture notification","opportunity_id":15,"read_at":"2026-10-11T10:00:00Z","created_at":"2026-10-11T09:00:00Z","is_read":true},{"notification_id":133,"notification_type":"opportunity_created","title":"oldest","message":"QA fixture notification","opportunity_id":15,"read_at":null,"created_at":"2026-10-10T09:00:00Z","is_read":false}],"total":4,"limit":20,"offset":0}</x:v>
      </x:c>
      <x:c r="K438" s="89" t="str">
        <x:v>Case duration 919 ms</x:v>
      </x:c>
    </x:row>
    <x:row r="439" ht="35" customHeight="1">
      <x:c r="A439" s="89" t="str">
        <x:v>READ-006</x:v>
      </x:c>
      <x:c r="B439" s="89" t="str">
        <x:v>Mark Notification Read</x:v>
      </x:c>
      <x:c r="C439" s="89" t="str">
        <x:v>Passed</x:v>
      </x:c>
      <x:c r="D439" s="89" t="n">
        <x:v>1</x:v>
      </x:c>
      <x:c r="E439" s="89" t="str">
        <x:v>POST</x:v>
      </x:c>
      <x:c r="F439" s="89" t="str">
        <x:v>/api/v1/auth/login</x:v>
      </x:c>
      <x:c r="G439" s="90" t="str">
        <x:v>null</x:v>
      </x:c>
      <x:c r="H439" s="90" t="str">
        <x:v>{"email":"alex.chen@grow8.dev","password":"&lt;redacted&gt;"}</x:v>
      </x:c>
      <x:c r="I439" s="90" t="n">
        <x:v>200</x:v>
      </x:c>
      <x:c r="J439" s="90" t="str">
        <x:v>{"access_token":"&lt;redacted&gt;","token_type":"bearer","expires_in":3600,"user":{"user_id":5,"email":"alex.chen@grow8.dev","full_name":"Alex Chen","role":"contributor"}}</x:v>
      </x:c>
      <x:c r="K439" s="89" t="str"/>
    </x:row>
    <x:row r="440" ht="35" customHeight="1">
      <x:c r="A440" s="89" t="str">
        <x:v>READ-006</x:v>
      </x:c>
      <x:c r="B440" s="89" t="str">
        <x:v>Mark Notification Read</x:v>
      </x:c>
      <x:c r="C440" s="89" t="str">
        <x:v>Passed</x:v>
      </x:c>
      <x:c r="D440" s="89" t="n">
        <x:v>2</x:v>
      </x:c>
      <x:c r="E440" s="89" t="str">
        <x:v>PATCH</x:v>
      </x:c>
      <x:c r="F440" s="89" t="str">
        <x:v>/api/v1/notifications/142/read</x:v>
      </x:c>
      <x:c r="G440" s="90" t="str">
        <x:v>null</x:v>
      </x:c>
      <x:c r="H440" s="90" t="str">
        <x:v>null</x:v>
      </x:c>
      <x:c r="I440" s="90" t="n">
        <x:v>401</x:v>
      </x:c>
      <x:c r="J440" s="90" t="str">
        <x:v>{"error":{"code":"AUTH_REQUIRED","message":"Authentication required"}}</x:v>
      </x:c>
      <x:c r="K440" s="89" t="str">
        <x:v>Case duration 732 ms</x:v>
      </x:c>
    </x:row>
    <x:row r="441" ht="35" customHeight="1">
      <x:c r="A441" s="89" t="str">
        <x:v>READ-007</x:v>
      </x:c>
      <x:c r="B441" s="89" t="str">
        <x:v>Mark Notification Read</x:v>
      </x:c>
      <x:c r="C441" s="89" t="str">
        <x:v>Passed</x:v>
      </x:c>
      <x:c r="D441" s="89" t="n">
        <x:v>1</x:v>
      </x:c>
      <x:c r="E441" s="89" t="str">
        <x:v>POST</x:v>
      </x:c>
      <x:c r="F441" s="89" t="str">
        <x:v>/api/v1/auth/login</x:v>
      </x:c>
      <x:c r="G441" s="90" t="str">
        <x:v>null</x:v>
      </x:c>
      <x:c r="H441" s="90" t="str">
        <x:v>{"email":"alex.chen@grow8.dev","password":"&lt;redacted&gt;"}</x:v>
      </x:c>
      <x:c r="I441" s="90" t="n">
        <x:v>200</x:v>
      </x:c>
      <x:c r="J441" s="90" t="str">
        <x:v>{"access_token":"&lt;redacted&gt;","token_type":"bearer","expires_in":3600,"user":{"user_id":5,"email":"alex.chen@grow8.dev","full_name":"Alex Chen","role":"contributor"}}</x:v>
      </x:c>
      <x:c r="K441" s="89" t="str"/>
    </x:row>
    <x:row r="442" ht="35" customHeight="1">
      <x:c r="A442" s="89" t="str">
        <x:v>READ-007</x:v>
      </x:c>
      <x:c r="B442" s="89" t="str">
        <x:v>Mark Notification Read</x:v>
      </x:c>
      <x:c r="C442" s="89" t="str">
        <x:v>Passed</x:v>
      </x:c>
      <x:c r="D442" s="89" t="n">
        <x:v>2</x:v>
      </x:c>
      <x:c r="E442" s="89" t="str">
        <x:v>PATCH</x:v>
      </x:c>
      <x:c r="F442" s="89" t="str">
        <x:v>/api/v1/notifications/148/read</x:v>
      </x:c>
      <x:c r="G442" s="90" t="str">
        <x:v>null</x:v>
      </x:c>
      <x:c r="H442" s="90" t="str">
        <x:v>null</x:v>
      </x:c>
      <x:c r="I442" s="90" t="n">
        <x:v>401</x:v>
      </x:c>
      <x:c r="J442" s="90" t="str">
        <x:v>{"error":{"code":"INVALID_TOKEN","message":"Invalid or expired token"}}</x:v>
      </x:c>
      <x:c r="K442" s="89" t="str">
        <x:v>Case duration 612 ms</x:v>
      </x:c>
    </x:row>
    <x:row r="443" ht="35" customHeight="1">
      <x:c r="A443" s="89" t="str">
        <x:v>READ-008</x:v>
      </x:c>
      <x:c r="B443" s="89" t="str">
        <x:v>Mark Notification Read</x:v>
      </x:c>
      <x:c r="C443" s="89" t="str">
        <x:v>Passed</x:v>
      </x:c>
      <x:c r="D443" s="89" t="n">
        <x:v>1</x:v>
      </x:c>
      <x:c r="E443" s="89" t="str">
        <x:v>POST</x:v>
      </x:c>
      <x:c r="F443" s="89" t="str">
        <x:v>/api/v1/auth/login</x:v>
      </x:c>
      <x:c r="G443" s="90" t="str">
        <x:v>null</x:v>
      </x:c>
      <x:c r="H443" s="90" t="str">
        <x:v>{"email":"alex.chen@grow8.dev","password":"&lt;redacted&gt;"}</x:v>
      </x:c>
      <x:c r="I443" s="90" t="n">
        <x:v>200</x:v>
      </x:c>
      <x:c r="J443" s="90" t="str">
        <x:v>{"access_token":"&lt;redacted&gt;","token_type":"bearer","expires_in":3600,"user":{"user_id":5,"email":"alex.chen@grow8.dev","full_name":"Alex Chen","role":"contributor"}}</x:v>
      </x:c>
      <x:c r="K443" s="89" t="str"/>
    </x:row>
    <x:row r="444" ht="35" customHeight="1">
      <x:c r="A444" s="89" t="str">
        <x:v>READ-008</x:v>
      </x:c>
      <x:c r="B444" s="89" t="str">
        <x:v>Mark Notification Read</x:v>
      </x:c>
      <x:c r="C444" s="89" t="str">
        <x:v>Passed</x:v>
      </x:c>
      <x:c r="D444" s="89" t="n">
        <x:v>2</x:v>
      </x:c>
      <x:c r="E444" s="89" t="str">
        <x:v>POST</x:v>
      </x:c>
      <x:c r="F444" s="89" t="str">
        <x:v>/api/v1/auth/login</x:v>
      </x:c>
      <x:c r="G444" s="90" t="str">
        <x:v>null</x:v>
      </x:c>
      <x:c r="H444" s="90" t="str">
        <x:v>{"email":"yyc.events@grow8.dev","password":"&lt;redacted&gt;"}</x:v>
      </x:c>
      <x:c r="I444" s="90" t="n">
        <x:v>200</x:v>
      </x:c>
      <x:c r="J444" s="90" t="str">
        <x:v>{"access_token":"&lt;redacted&gt;","token_type":"bearer","expires_in":3600,"user":{"user_id":4,"email":"yyc.events@grow8.dev","full_name":"Sofia Martinez","role":"creator"}}</x:v>
      </x:c>
      <x:c r="K444" s="89" t="str"/>
    </x:row>
    <x:row r="445" ht="35" customHeight="1">
      <x:c r="A445" s="89" t="str">
        <x:v>READ-008</x:v>
      </x:c>
      <x:c r="B445" s="89" t="str">
        <x:v>Mark Notification Read</x:v>
      </x:c>
      <x:c r="C445" s="89" t="str">
        <x:v>Passed</x:v>
      </x:c>
      <x:c r="D445" s="89" t="n">
        <x:v>3</x:v>
      </x:c>
      <x:c r="E445" s="89" t="str">
        <x:v>GET</x:v>
      </x:c>
      <x:c r="F445" s="89" t="str">
        <x:v>/api/v1/notifications/unread-count</x:v>
      </x:c>
      <x:c r="G445" s="90" t="str">
        <x:v>null</x:v>
      </x:c>
      <x:c r="H445" s="90" t="str">
        <x:v>null</x:v>
      </x:c>
      <x:c r="I445" s="90" t="n">
        <x:v>200</x:v>
      </x:c>
      <x:c r="J445" s="90" t="str">
        <x:v>{"unread_count":1}</x:v>
      </x:c>
      <x:c r="K445" s="89" t="str"/>
    </x:row>
    <x:row r="446" ht="35" customHeight="1">
      <x:c r="A446" s="89" t="str">
        <x:v>READ-008</x:v>
      </x:c>
      <x:c r="B446" s="89" t="str">
        <x:v>Mark Notification Read</x:v>
      </x:c>
      <x:c r="C446" s="89" t="str">
        <x:v>Passed</x:v>
      </x:c>
      <x:c r="D446" s="89" t="n">
        <x:v>4</x:v>
      </x:c>
      <x:c r="E446" s="89" t="str">
        <x:v>PATCH</x:v>
      </x:c>
      <x:c r="F446" s="89" t="str">
        <x:v>/api/v1/notifications/155/read</x:v>
      </x:c>
      <x:c r="G446" s="90" t="str">
        <x:v>null</x:v>
      </x:c>
      <x:c r="H446" s="90" t="str">
        <x:v>null</x:v>
      </x:c>
      <x:c r="I446" s="90" t="n">
        <x:v>404</x:v>
      </x:c>
      <x:c r="J446" s="90" t="str">
        <x:v>{"error":{"code":"NOTIFICATION_NOT_FOUND","message":"Notification not found"}}</x:v>
      </x:c>
      <x:c r="K446" s="89" t="str"/>
    </x:row>
    <x:row r="447" ht="35" customHeight="1">
      <x:c r="A447" s="89" t="str">
        <x:v>READ-008</x:v>
      </x:c>
      <x:c r="B447" s="89" t="str">
        <x:v>Mark Notification Read</x:v>
      </x:c>
      <x:c r="C447" s="89" t="str">
        <x:v>Passed</x:v>
      </x:c>
      <x:c r="D447" s="89" t="n">
        <x:v>5</x:v>
      </x:c>
      <x:c r="E447" s="89" t="str">
        <x:v>GET</x:v>
      </x:c>
      <x:c r="F447" s="89" t="str">
        <x:v>/api/v1/notifications/unread-count</x:v>
      </x:c>
      <x:c r="G447" s="90" t="str">
        <x:v>null</x:v>
      </x:c>
      <x:c r="H447" s="90" t="str">
        <x:v>null</x:v>
      </x:c>
      <x:c r="I447" s="90" t="n">
        <x:v>200</x:v>
      </x:c>
      <x:c r="J447" s="90" t="str">
        <x:v>{"unread_count":1}</x:v>
      </x:c>
      <x:c r="K447" s="89" t="str">
        <x:v>Case duration 00:00:01</x:v>
      </x:c>
    </x:row>
    <x:row r="448" ht="35" customHeight="1">
      <x:c r="A448" s="89" t="str">
        <x:v>READ-009</x:v>
      </x:c>
      <x:c r="B448" s="89" t="str">
        <x:v>Mark Notification Read</x:v>
      </x:c>
      <x:c r="C448" s="89" t="str">
        <x:v>Passed</x:v>
      </x:c>
      <x:c r="D448" s="89" t="n">
        <x:v>1</x:v>
      </x:c>
      <x:c r="E448" s="89" t="str">
        <x:v>POST</x:v>
      </x:c>
      <x:c r="F448" s="89" t="str">
        <x:v>/api/v1/auth/login</x:v>
      </x:c>
      <x:c r="G448" s="90" t="str">
        <x:v>null</x:v>
      </x:c>
      <x:c r="H448" s="90" t="str">
        <x:v>{"email":"alex.chen@grow8.dev","password":"&lt;redacted&gt;"}</x:v>
      </x:c>
      <x:c r="I448" s="90" t="n">
        <x:v>200</x:v>
      </x:c>
      <x:c r="J448" s="90" t="str">
        <x:v>{"access_token":"&lt;redacted&gt;","token_type":"bearer","expires_in":3600,"user":{"user_id":5,"email":"alex.chen@grow8.dev","full_name":"Alex Chen","role":"contributor"}}</x:v>
      </x:c>
      <x:c r="K448" s="89" t="str"/>
    </x:row>
    <x:row r="449" ht="35" customHeight="1">
      <x:c r="A449" s="89" t="str">
        <x:v>READ-009</x:v>
      </x:c>
      <x:c r="B449" s="89" t="str">
        <x:v>Mark Notification Read</x:v>
      </x:c>
      <x:c r="C449" s="89" t="str">
        <x:v>Passed</x:v>
      </x:c>
      <x:c r="D449" s="89" t="n">
        <x:v>2</x:v>
      </x:c>
      <x:c r="E449" s="89" t="str">
        <x:v>PATCH</x:v>
      </x:c>
      <x:c r="F449" s="89" t="str">
        <x:v>/api/v1/notifications/999999/read</x:v>
      </x:c>
      <x:c r="G449" s="90" t="str">
        <x:v>null</x:v>
      </x:c>
      <x:c r="H449" s="90" t="str">
        <x:v>null</x:v>
      </x:c>
      <x:c r="I449" s="90" t="n">
        <x:v>404</x:v>
      </x:c>
      <x:c r="J449" s="90" t="str">
        <x:v>{"error":{"code":"NOTIFICATION_NOT_FOUND","message":"Notification not found"}}</x:v>
      </x:c>
      <x:c r="K449" s="89" t="str">
        <x:v>Case duration 647 ms</x:v>
      </x:c>
    </x:row>
    <x:row r="450" ht="35" customHeight="1">
      <x:c r="A450" s="89" t="str">
        <x:v>READ-010</x:v>
      </x:c>
      <x:c r="B450" s="89" t="str">
        <x:v>Mark Notification Read</x:v>
      </x:c>
      <x:c r="C450" s="89" t="str">
        <x:v>Passed</x:v>
      </x:c>
      <x:c r="D450" s="89" t="n">
        <x:v>1</x:v>
      </x:c>
      <x:c r="E450" s="89" t="str">
        <x:v>POST</x:v>
      </x:c>
      <x:c r="F450" s="89" t="str">
        <x:v>/api/v1/auth/login</x:v>
      </x:c>
      <x:c r="G450" s="90" t="str">
        <x:v>null</x:v>
      </x:c>
      <x:c r="H450" s="90" t="str">
        <x:v>{"email":"alex.chen@grow8.dev","password":"&lt;redacted&gt;"}</x:v>
      </x:c>
      <x:c r="I450" s="90" t="n">
        <x:v>200</x:v>
      </x:c>
      <x:c r="J450" s="90" t="str">
        <x:v>{"access_token":"&lt;redacted&gt;","token_type":"bearer","expires_in":3600,"user":{"user_id":5,"email":"alex.chen@grow8.dev","full_name":"Alex Chen","role":"contributor"}}</x:v>
      </x:c>
      <x:c r="K450" s="89" t="str"/>
    </x:row>
    <x:row r="451" ht="35" customHeight="1">
      <x:c r="A451" s="89" t="str">
        <x:v>READ-010</x:v>
      </x:c>
      <x:c r="B451" s="89" t="str">
        <x:v>Mark Notification Read</x:v>
      </x:c>
      <x:c r="C451" s="89" t="str">
        <x:v>Passed</x:v>
      </x:c>
      <x:c r="D451" s="89" t="n">
        <x:v>2</x:v>
      </x:c>
      <x:c r="E451" s="89" t="str">
        <x:v>PATCH</x:v>
      </x:c>
      <x:c r="F451" s="89" t="str">
        <x:v>/api/v1/notifications/0/read</x:v>
      </x:c>
      <x:c r="G451" s="90" t="str">
        <x:v>null</x:v>
      </x:c>
      <x:c r="H451" s="90" t="str">
        <x:v>null</x:v>
      </x:c>
      <x:c r="I451" s="90" t="n">
        <x:v>422</x:v>
      </x:c>
      <x:c r="J451" s="90" t="str">
        <x:v>{"error":{"code":"VALIDATION_ERROR","message":"Request validation failed","details":[{"loc":["path","notification_id"],"message":"Input should be greater than or equal to 1","type":"greater_than_equal"}]}}</x:v>
      </x:c>
      <x:c r="K451" s="89" t="str"/>
    </x:row>
    <x:row r="452" ht="35" customHeight="1">
      <x:c r="A452" s="89" t="str">
        <x:v>READ-010</x:v>
      </x:c>
      <x:c r="B452" s="89" t="str">
        <x:v>Mark Notification Read</x:v>
      </x:c>
      <x:c r="C452" s="89" t="str">
        <x:v>Passed</x:v>
      </x:c>
      <x:c r="D452" s="89" t="n">
        <x:v>3</x:v>
      </x:c>
      <x:c r="E452" s="89" t="str">
        <x:v>PATCH</x:v>
      </x:c>
      <x:c r="F452" s="89" t="str">
        <x:v>/api/v1/notifications/abc/read</x:v>
      </x:c>
      <x:c r="G452" s="90" t="str">
        <x:v>null</x:v>
      </x:c>
      <x:c r="H452" s="90" t="str">
        <x:v>null</x:v>
      </x:c>
      <x:c r="I452" s="90" t="n">
        <x:v>422</x:v>
      </x:c>
      <x:c r="J452" s="90" t="str">
        <x:v>{"error":{"code":"VALIDATION_ERROR","message":"Request validation failed","details":[{"loc":["path","notification_id"],"message":"Input should be a valid integer, unable to parse string as an integer","type":"int_parsing"}]}}</x:v>
      </x:c>
      <x:c r="K452" s="89" t="str">
        <x:v>Case duration 704 ms</x:v>
      </x:c>
    </x:row>
    <x:row r="453" ht="35" customHeight="1">
      <x:c r="A453" s="89" t="str">
        <x:v>ALLREAD-001</x:v>
      </x:c>
      <x:c r="B453" s="89" t="str">
        <x:v>Mark All Notifications Read</x:v>
      </x:c>
      <x:c r="C453" s="89" t="str">
        <x:v>Passed</x:v>
      </x:c>
      <x:c r="D453" s="89" t="n">
        <x:v>1</x:v>
      </x:c>
      <x:c r="E453" s="89" t="str">
        <x:v>POST</x:v>
      </x:c>
      <x:c r="F453" s="89" t="str">
        <x:v>/api/v1/auth/login</x:v>
      </x:c>
      <x:c r="G453" s="90" t="str">
        <x:v>null</x:v>
      </x:c>
      <x:c r="H453" s="90" t="str">
        <x:v>{"email":"alex.chen@grow8.dev","password":"&lt;redacted&gt;"}</x:v>
      </x:c>
      <x:c r="I453" s="90" t="n">
        <x:v>200</x:v>
      </x:c>
      <x:c r="J453" s="90" t="str">
        <x:v>{"access_token":"&lt;redacted&gt;","token_type":"bearer","expires_in":3600,"user":{"user_id":5,"email":"alex.chen@grow8.dev","full_name":"Alex Chen","role":"contributor"}}</x:v>
      </x:c>
      <x:c r="K453" s="89" t="str"/>
    </x:row>
    <x:row r="454" ht="35" customHeight="1">
      <x:c r="A454" s="89" t="str">
        <x:v>ALLREAD-001</x:v>
      </x:c>
      <x:c r="B454" s="89" t="str">
        <x:v>Mark All Notifications Read</x:v>
      </x:c>
      <x:c r="C454" s="89" t="str">
        <x:v>Passed</x:v>
      </x:c>
      <x:c r="D454" s="89" t="n">
        <x:v>2</x:v>
      </x:c>
      <x:c r="E454" s="89" t="str">
        <x:v>POST</x:v>
      </x:c>
      <x:c r="F454" s="89" t="str">
        <x:v>/api/v1/notifications/read-all</x:v>
      </x:c>
      <x:c r="G454" s="90" t="str">
        <x:v>null</x:v>
      </x:c>
      <x:c r="H454" s="90" t="str">
        <x:v>null</x:v>
      </x:c>
      <x:c r="I454" s="90" t="n">
        <x:v>200</x:v>
      </x:c>
      <x:c r="J454" s="90" t="str">
        <x:v>{"marked_read":3}</x:v>
      </x:c>
      <x:c r="K454" s="89" t="str"/>
    </x:row>
    <x:row r="455" ht="35" customHeight="1">
      <x:c r="A455" s="89" t="str">
        <x:v>ALLREAD-001</x:v>
      </x:c>
      <x:c r="B455" s="89" t="str">
        <x:v>Mark All Notifications Read</x:v>
      </x:c>
      <x:c r="C455" s="89" t="str">
        <x:v>Passed</x:v>
      </x:c>
      <x:c r="D455" s="89" t="n">
        <x:v>3</x:v>
      </x:c>
      <x:c r="E455" s="89" t="str">
        <x:v>GET</x:v>
      </x:c>
      <x:c r="F455" s="89" t="str">
        <x:v>/api/v1/notifications/unread-count</x:v>
      </x:c>
      <x:c r="G455" s="90" t="str">
        <x:v>null</x:v>
      </x:c>
      <x:c r="H455" s="90" t="str">
        <x:v>null</x:v>
      </x:c>
      <x:c r="I455" s="90" t="n">
        <x:v>200</x:v>
      </x:c>
      <x:c r="J455" s="90" t="str">
        <x:v>{"unread_count":0}</x:v>
      </x:c>
      <x:c r="K455" s="89" t="str">
        <x:v>Case duration 715 ms</x:v>
      </x:c>
    </x:row>
    <x:row r="456" ht="35" customHeight="1">
      <x:c r="A456" s="89" t="str">
        <x:v>ALLREAD-002</x:v>
      </x:c>
      <x:c r="B456" s="89" t="str">
        <x:v>Mark All Notifications Read</x:v>
      </x:c>
      <x:c r="C456" s="89" t="str">
        <x:v>Passed</x:v>
      </x:c>
      <x:c r="D456" s="89" t="n">
        <x:v>1</x:v>
      </x:c>
      <x:c r="E456" s="89" t="str">
        <x:v>POST</x:v>
      </x:c>
      <x:c r="F456" s="89" t="str">
        <x:v>/api/v1/auth/login</x:v>
      </x:c>
      <x:c r="G456" s="90" t="str">
        <x:v>null</x:v>
      </x:c>
      <x:c r="H456" s="90" t="str">
        <x:v>{"email":"alex.chen@grow8.dev","password":"&lt;redacted&gt;"}</x:v>
      </x:c>
      <x:c r="I456" s="90" t="n">
        <x:v>200</x:v>
      </x:c>
      <x:c r="J456" s="90" t="str">
        <x:v>{"access_token":"&lt;redacted&gt;","token_type":"bearer","expires_in":3600,"user":{"user_id":5,"email":"alex.chen@grow8.dev","full_name":"Alex Chen","role":"contributor"}}</x:v>
      </x:c>
      <x:c r="K456" s="89" t="str"/>
    </x:row>
    <x:row r="457" ht="35" customHeight="1">
      <x:c r="A457" s="89" t="str">
        <x:v>ALLREAD-002</x:v>
      </x:c>
      <x:c r="B457" s="89" t="str">
        <x:v>Mark All Notifications Read</x:v>
      </x:c>
      <x:c r="C457" s="89" t="str">
        <x:v>Passed</x:v>
      </x:c>
      <x:c r="D457" s="89" t="n">
        <x:v>2</x:v>
      </x:c>
      <x:c r="E457" s="89" t="str">
        <x:v>POST</x:v>
      </x:c>
      <x:c r="F457" s="89" t="str">
        <x:v>/api/v1/auth/login</x:v>
      </x:c>
      <x:c r="G457" s="90" t="str">
        <x:v>null</x:v>
      </x:c>
      <x:c r="H457" s="90" t="str">
        <x:v>{"email":"maple.bakery@grow8.dev","password":"&lt;redacted&gt;"}</x:v>
      </x:c>
      <x:c r="I457" s="90" t="n">
        <x:v>200</x:v>
      </x:c>
      <x:c r="J457" s="90" t="str">
        <x:v>{"access_token":"&lt;redacted&gt;","token_type":"bearer","expires_in":3600,"user":{"user_id":2,"email":"maple.bakery@grow8.dev","full_name":"Priya Nair","role":"creator"}}</x:v>
      </x:c>
      <x:c r="K457" s="89" t="str"/>
    </x:row>
    <x:row r="458" ht="35" customHeight="1">
      <x:c r="A458" s="89" t="str">
        <x:v>ALLREAD-002</x:v>
      </x:c>
      <x:c r="B458" s="89" t="str">
        <x:v>Mark All Notifications Read</x:v>
      </x:c>
      <x:c r="C458" s="89" t="str">
        <x:v>Passed</x:v>
      </x:c>
      <x:c r="D458" s="89" t="n">
        <x:v>3</x:v>
      </x:c>
      <x:c r="E458" s="89" t="str">
        <x:v>POST</x:v>
      </x:c>
      <x:c r="F458" s="89" t="str">
        <x:v>/api/v1/notifications/read-all</x:v>
      </x:c>
      <x:c r="G458" s="90" t="str">
        <x:v>null</x:v>
      </x:c>
      <x:c r="H458" s="90" t="str">
        <x:v>null</x:v>
      </x:c>
      <x:c r="I458" s="90" t="n">
        <x:v>200</x:v>
      </x:c>
      <x:c r="J458" s="90" t="str">
        <x:v>{"marked_read":0}</x:v>
      </x:c>
      <x:c r="K458" s="89" t="str"/>
    </x:row>
    <x:row r="459" ht="35" customHeight="1">
      <x:c r="A459" s="89" t="str">
        <x:v>ALLREAD-002</x:v>
      </x:c>
      <x:c r="B459" s="89" t="str">
        <x:v>Mark All Notifications Read</x:v>
      </x:c>
      <x:c r="C459" s="89" t="str">
        <x:v>Passed</x:v>
      </x:c>
      <x:c r="D459" s="89" t="n">
        <x:v>4</x:v>
      </x:c>
      <x:c r="E459" s="89" t="str">
        <x:v>GET</x:v>
      </x:c>
      <x:c r="F459" s="89" t="str">
        <x:v>/api/v1/notifications/unread-count</x:v>
      </x:c>
      <x:c r="G459" s="90" t="str">
        <x:v>null</x:v>
      </x:c>
      <x:c r="H459" s="90" t="str">
        <x:v>null</x:v>
      </x:c>
      <x:c r="I459" s="90" t="n">
        <x:v>200</x:v>
      </x:c>
      <x:c r="J459" s="90" t="str">
        <x:v>{"unread_count":0}</x:v>
      </x:c>
      <x:c r="K459" s="89" t="str">
        <x:v>Case duration 00:00:01</x:v>
      </x:c>
    </x:row>
    <x:row r="460" ht="35" customHeight="1">
      <x:c r="A460" s="89" t="str">
        <x:v>ALLREAD-003</x:v>
      </x:c>
      <x:c r="B460" s="89" t="str">
        <x:v>Mark All Notifications Read</x:v>
      </x:c>
      <x:c r="C460" s="89" t="str">
        <x:v>Passed</x:v>
      </x:c>
      <x:c r="D460" s="89" t="n">
        <x:v>1</x:v>
      </x:c>
      <x:c r="E460" s="89" t="str">
        <x:v>POST</x:v>
      </x:c>
      <x:c r="F460" s="89" t="str">
        <x:v>/api/v1/auth/login</x:v>
      </x:c>
      <x:c r="G460" s="90" t="str">
        <x:v>null</x:v>
      </x:c>
      <x:c r="H460" s="90" t="str">
        <x:v>{"email":"alex.chen@grow8.dev","password":"&lt;redacted&gt;"}</x:v>
      </x:c>
      <x:c r="I460" s="90" t="n">
        <x:v>200</x:v>
      </x:c>
      <x:c r="J460" s="90" t="str">
        <x:v>{"access_token":"&lt;redacted&gt;","token_type":"bearer","expires_in":3600,"user":{"user_id":5,"email":"alex.chen@grow8.dev","full_name":"Alex Chen","role":"contributor"}}</x:v>
      </x:c>
      <x:c r="K460" s="89" t="str"/>
    </x:row>
    <x:row r="461" ht="35" customHeight="1">
      <x:c r="A461" s="89" t="str">
        <x:v>ALLREAD-003</x:v>
      </x:c>
      <x:c r="B461" s="89" t="str">
        <x:v>Mark All Notifications Read</x:v>
      </x:c>
      <x:c r="C461" s="89" t="str">
        <x:v>Passed</x:v>
      </x:c>
      <x:c r="D461" s="89" t="n">
        <x:v>2</x:v>
      </x:c>
      <x:c r="E461" s="89" t="str">
        <x:v>GET</x:v>
      </x:c>
      <x:c r="F461" s="89" t="str">
        <x:v>/api/v1/notifications</x:v>
      </x:c>
      <x:c r="G461" s="90" t="str">
        <x:v>null</x:v>
      </x:c>
      <x:c r="H461" s="90" t="str">
        <x:v>null</x:v>
      </x:c>
      <x:c r="I461" s="90" t="n">
        <x:v>200</x:v>
      </x:c>
      <x:c r="J461" s="90" t="str">
        <x:v>{"items":[{"notification_id":184,"notification_type":"opportunity_created","title":"newest","message":"QA fixture notification","opportunity_id":15,"read_at":null,"created_at":"2026-10-13T09:00:00Z","is_read":false},{"notification_id":183,"notification_type":"opportunity_created","title":"middle","message":"QA fixture notification","opportunity_id":15,"read_at":null,"created_at":"2026-10-12T09:00:00Z","is_read":false},{"notification_id":182,"notification_type":"opportunity_created","title":"read","message":"QA fixture notification","opportunity_id":15,"read_at":"2026-10-11T10:00:00Z","created_at":"2026-10-11T09:00:00Z","is_read":true},{"notification_id":181,"notification_type":"opportunity_created","title":"oldest","message":"QA fixture notification","opportunity_id":15,"read_at":null,"created_at":"2026-10-10T09:00:00Z","is_read":false}],"total":4,"limit":20,"offset":0}</x:v>
      </x:c>
      <x:c r="K461" s="89" t="str"/>
    </x:row>
    <x:row r="462" ht="35" customHeight="1">
      <x:c r="A462" s="89" t="str">
        <x:v>ALLREAD-003</x:v>
      </x:c>
      <x:c r="B462" s="89" t="str">
        <x:v>Mark All Notifications Read</x:v>
      </x:c>
      <x:c r="C462" s="89" t="str">
        <x:v>Passed</x:v>
      </x:c>
      <x:c r="D462" s="89" t="n">
        <x:v>3</x:v>
      </x:c>
      <x:c r="E462" s="89" t="str">
        <x:v>POST</x:v>
      </x:c>
      <x:c r="F462" s="89" t="str">
        <x:v>/api/v1/notifications/read-all</x:v>
      </x:c>
      <x:c r="G462" s="90" t="str">
        <x:v>null</x:v>
      </x:c>
      <x:c r="H462" s="90" t="str">
        <x:v>null</x:v>
      </x:c>
      <x:c r="I462" s="90" t="n">
        <x:v>200</x:v>
      </x:c>
      <x:c r="J462" s="90" t="str">
        <x:v>{"marked_read":3}</x:v>
      </x:c>
      <x:c r="K462" s="89" t="str"/>
    </x:row>
    <x:row r="463" ht="35" customHeight="1">
      <x:c r="A463" s="89" t="str">
        <x:v>ALLREAD-003</x:v>
      </x:c>
      <x:c r="B463" s="89" t="str">
        <x:v>Mark All Notifications Read</x:v>
      </x:c>
      <x:c r="C463" s="89" t="str">
        <x:v>Passed</x:v>
      </x:c>
      <x:c r="D463" s="89" t="n">
        <x:v>4</x:v>
      </x:c>
      <x:c r="E463" s="89" t="str">
        <x:v>GET</x:v>
      </x:c>
      <x:c r="F463" s="89" t="str">
        <x:v>/api/v1/notifications</x:v>
      </x:c>
      <x:c r="G463" s="90" t="str">
        <x:v>null</x:v>
      </x:c>
      <x:c r="H463" s="90" t="str">
        <x:v>null</x:v>
      </x:c>
      <x:c r="I463" s="90" t="n">
        <x:v>200</x:v>
      </x:c>
      <x:c r="J463" s="90" t="str">
        <x:v>{"items":[{"notification_id":184,"notification_type":"opportunity_created","title":"newest","message":"QA fixture notification","opportunity_id":15,"read_at":"2026-10-28T06:04:24Z","created_at":"2026-10-13T09:00:00Z","is_read":true},{"notification_id":183,"notification_type":"opportunity_created","title":"middle","message":"QA fixture notification","opportunity_id":15,"read_at":"2026-10-28T06:04:24Z","created_at":"2026-10-12T09:00:00Z","is_read":true},{"notification_id":182,"notification_type":"opportunity_created","title":"read","message":"QA fixture notification","opportunity_id":15,"read_at":"2026-10-11T10:00:00Z","created_at":"2026-10-11T09:00:00Z","is_read":true},{"notification_id":181,"notification_type":"opportunity_created","title":"oldest","message":"QA fixture notification","opportunity_id":15,"read_at":"2026-10-28T06:04:24Z","created_at":"2026-10-10T09:00:00Z","is_read":true}],"total":4,"limit":20,"offset":0}</x:v>
      </x:c>
      <x:c r="K463" s="89" t="str">
        <x:v>Case duration 873 ms</x:v>
      </x:c>
    </x:row>
    <x:row r="464" ht="35" customHeight="1">
      <x:c r="A464" s="89" t="str">
        <x:v>ALLREAD-004</x:v>
      </x:c>
      <x:c r="B464" s="89" t="str">
        <x:v>Mark All Notifications Read</x:v>
      </x:c>
      <x:c r="C464" s="89" t="str">
        <x:v>Passed</x:v>
      </x:c>
      <x:c r="D464" s="89" t="n">
        <x:v>1</x:v>
      </x:c>
      <x:c r="E464" s="89" t="str">
        <x:v>POST</x:v>
      </x:c>
      <x:c r="F464" s="89" t="str">
        <x:v>/api/v1/auth/login</x:v>
      </x:c>
      <x:c r="G464" s="90" t="str">
        <x:v>null</x:v>
      </x:c>
      <x:c r="H464" s="90" t="str">
        <x:v>{"email":"alex.chen@grow8.dev","password":"&lt;redacted&gt;"}</x:v>
      </x:c>
      <x:c r="I464" s="90" t="n">
        <x:v>200</x:v>
      </x:c>
      <x:c r="J464" s="90" t="str">
        <x:v>{"access_token":"&lt;redacted&gt;","token_type":"bearer","expires_in":3600,"user":{"user_id":5,"email":"alex.chen@grow8.dev","full_name":"Alex Chen","role":"contributor"}}</x:v>
      </x:c>
      <x:c r="K464" s="89" t="str"/>
    </x:row>
    <x:row r="465" ht="35" customHeight="1">
      <x:c r="A465" s="89" t="str">
        <x:v>ALLREAD-004</x:v>
      </x:c>
      <x:c r="B465" s="89" t="str">
        <x:v>Mark All Notifications Read</x:v>
      </x:c>
      <x:c r="C465" s="89" t="str">
        <x:v>Passed</x:v>
      </x:c>
      <x:c r="D465" s="89" t="n">
        <x:v>2</x:v>
      </x:c>
      <x:c r="E465" s="89" t="str">
        <x:v>POST</x:v>
      </x:c>
      <x:c r="F465" s="89" t="str">
        <x:v>/api/v1/notifications/read-all</x:v>
      </x:c>
      <x:c r="G465" s="90" t="str">
        <x:v>null</x:v>
      </x:c>
      <x:c r="H465" s="90" t="str">
        <x:v>null</x:v>
      </x:c>
      <x:c r="I465" s="90" t="n">
        <x:v>200</x:v>
      </x:c>
      <x:c r="J465" s="90" t="str">
        <x:v>{"marked_read":3}</x:v>
      </x:c>
      <x:c r="K465" s="89" t="str"/>
    </x:row>
    <x:row r="466" ht="35" customHeight="1">
      <x:c r="A466" s="89" t="str">
        <x:v>ALLREAD-004</x:v>
      </x:c>
      <x:c r="B466" s="89" t="str">
        <x:v>Mark All Notifications Read</x:v>
      </x:c>
      <x:c r="C466" s="89" t="str">
        <x:v>Passed</x:v>
      </x:c>
      <x:c r="D466" s="89" t="n">
        <x:v>3</x:v>
      </x:c>
      <x:c r="E466" s="89" t="str">
        <x:v>POST</x:v>
      </x:c>
      <x:c r="F466" s="89" t="str">
        <x:v>/api/v1/notifications/read-all</x:v>
      </x:c>
      <x:c r="G466" s="90" t="str">
        <x:v>null</x:v>
      </x:c>
      <x:c r="H466" s="90" t="str">
        <x:v>null</x:v>
      </x:c>
      <x:c r="I466" s="90" t="n">
        <x:v>200</x:v>
      </x:c>
      <x:c r="J466" s="90" t="str">
        <x:v>{"marked_read":0}</x:v>
      </x:c>
      <x:c r="K466" s="89" t="str"/>
    </x:row>
    <x:row r="467" ht="35" customHeight="1">
      <x:c r="A467" s="89" t="str">
        <x:v>ALLREAD-004</x:v>
      </x:c>
      <x:c r="B467" s="89" t="str">
        <x:v>Mark All Notifications Read</x:v>
      </x:c>
      <x:c r="C467" s="89" t="str">
        <x:v>Passed</x:v>
      </x:c>
      <x:c r="D467" s="89" t="n">
        <x:v>4</x:v>
      </x:c>
      <x:c r="E467" s="89" t="str">
        <x:v>GET</x:v>
      </x:c>
      <x:c r="F467" s="89" t="str">
        <x:v>/api/v1/notifications/unread-count</x:v>
      </x:c>
      <x:c r="G467" s="90" t="str">
        <x:v>null</x:v>
      </x:c>
      <x:c r="H467" s="90" t="str">
        <x:v>null</x:v>
      </x:c>
      <x:c r="I467" s="90" t="n">
        <x:v>200</x:v>
      </x:c>
      <x:c r="J467" s="90" t="str">
        <x:v>{"unread_count":0}</x:v>
      </x:c>
      <x:c r="K467" s="89" t="str">
        <x:v>Case duration 717 ms</x:v>
      </x:c>
    </x:row>
    <x:row r="468" ht="35" customHeight="1">
      <x:c r="A468" s="89" t="str">
        <x:v>ALLREAD-005</x:v>
      </x:c>
      <x:c r="B468" s="89" t="str">
        <x:v>Mark All Notifications Read</x:v>
      </x:c>
      <x:c r="C468" s="89" t="str">
        <x:v>Passed</x:v>
      </x:c>
      <x:c r="D468" s="89" t="n">
        <x:v>1</x:v>
      </x:c>
      <x:c r="E468" s="89" t="str">
        <x:v>POST</x:v>
      </x:c>
      <x:c r="F468" s="89" t="str">
        <x:v>/api/v1/auth/login</x:v>
      </x:c>
      <x:c r="G468" s="90" t="str">
        <x:v>null</x:v>
      </x:c>
      <x:c r="H468" s="90" t="str">
        <x:v>{"email":"alex.chen@grow8.dev","password":"&lt;redacted&gt;"}</x:v>
      </x:c>
      <x:c r="I468" s="90" t="n">
        <x:v>200</x:v>
      </x:c>
      <x:c r="J468" s="90" t="str">
        <x:v>{"access_token":"&lt;redacted&gt;","token_type":"bearer","expires_in":3600,"user":{"user_id":5,"email":"alex.chen@grow8.dev","full_name":"Alex Chen","role":"contributor"}}</x:v>
      </x:c>
      <x:c r="K468" s="89" t="str"/>
    </x:row>
    <x:row r="469" ht="35" customHeight="1">
      <x:c r="A469" s="89" t="str">
        <x:v>ALLREAD-005</x:v>
      </x:c>
      <x:c r="B469" s="89" t="str">
        <x:v>Mark All Notifications Read</x:v>
      </x:c>
      <x:c r="C469" s="89" t="str">
        <x:v>Passed</x:v>
      </x:c>
      <x:c r="D469" s="89" t="n">
        <x:v>2</x:v>
      </x:c>
      <x:c r="E469" s="89" t="str">
        <x:v>POST</x:v>
      </x:c>
      <x:c r="F469" s="89" t="str">
        <x:v>/api/v1/auth/login</x:v>
      </x:c>
      <x:c r="G469" s="90" t="str">
        <x:v>null</x:v>
      </x:c>
      <x:c r="H469" s="90" t="str">
        <x:v>{"email":"yyc.events@grow8.dev","password":"&lt;redacted&gt;"}</x:v>
      </x:c>
      <x:c r="I469" s="90" t="n">
        <x:v>200</x:v>
      </x:c>
      <x:c r="J469" s="90" t="str">
        <x:v>{"access_token":"&lt;redacted&gt;","token_type":"bearer","expires_in":3600,"user":{"user_id":4,"email":"yyc.events@grow8.dev","full_name":"Sofia Martinez","role":"creator"}}</x:v>
      </x:c>
      <x:c r="K469" s="89" t="str"/>
    </x:row>
    <x:row r="470" ht="35" customHeight="1">
      <x:c r="A470" s="89" t="str">
        <x:v>ALLREAD-005</x:v>
      </x:c>
      <x:c r="B470" s="89" t="str">
        <x:v>Mark All Notifications Read</x:v>
      </x:c>
      <x:c r="C470" s="89" t="str">
        <x:v>Passed</x:v>
      </x:c>
      <x:c r="D470" s="89" t="n">
        <x:v>3</x:v>
      </x:c>
      <x:c r="E470" s="89" t="str">
        <x:v>GET</x:v>
      </x:c>
      <x:c r="F470" s="89" t="str">
        <x:v>/api/v1/notifications</x:v>
      </x:c>
      <x:c r="G470" s="90" t="str">
        <x:v>null</x:v>
      </x:c>
      <x:c r="H470" s="90" t="str">
        <x:v>null</x:v>
      </x:c>
      <x:c r="I470" s="90" t="n">
        <x:v>200</x:v>
      </x:c>
      <x:c r="J470" s="90" t="str">
        <x:v>{"items":[{"notification_id":197,"notification_type":"opportunity_created","title":"sofia","message":"QA fixture notification","opportunity_id":15,"read_at":null,"created_at":"2026-10-13T09:00:00Z","is_read":false}],"total":1,"limit":20,"offset":0}</x:v>
      </x:c>
      <x:c r="K470" s="89" t="str"/>
    </x:row>
    <x:row r="471" ht="35" customHeight="1">
      <x:c r="A471" s="89" t="str">
        <x:v>ALLREAD-005</x:v>
      </x:c>
      <x:c r="B471" s="89" t="str">
        <x:v>Mark All Notifications Read</x:v>
      </x:c>
      <x:c r="C471" s="89" t="str">
        <x:v>Passed</x:v>
      </x:c>
      <x:c r="D471" s="89" t="n">
        <x:v>4</x:v>
      </x:c>
      <x:c r="E471" s="89" t="str">
        <x:v>POST</x:v>
      </x:c>
      <x:c r="F471" s="89" t="str">
        <x:v>/api/v1/notifications/read-all</x:v>
      </x:c>
      <x:c r="G471" s="90" t="str">
        <x:v>null</x:v>
      </x:c>
      <x:c r="H471" s="90" t="str">
        <x:v>null</x:v>
      </x:c>
      <x:c r="I471" s="90" t="n">
        <x:v>200</x:v>
      </x:c>
      <x:c r="J471" s="90" t="str">
        <x:v>{"marked_read":3}</x:v>
      </x:c>
      <x:c r="K471" s="89" t="str"/>
    </x:row>
    <x:row r="472" ht="35" customHeight="1">
      <x:c r="A472" s="89" t="str">
        <x:v>ALLREAD-005</x:v>
      </x:c>
      <x:c r="B472" s="89" t="str">
        <x:v>Mark All Notifications Read</x:v>
      </x:c>
      <x:c r="C472" s="89" t="str">
        <x:v>Passed</x:v>
      </x:c>
      <x:c r="D472" s="89" t="n">
        <x:v>5</x:v>
      </x:c>
      <x:c r="E472" s="89" t="str">
        <x:v>GET</x:v>
      </x:c>
      <x:c r="F472" s="89" t="str">
        <x:v>/api/v1/notifications/unread-count</x:v>
      </x:c>
      <x:c r="G472" s="90" t="str">
        <x:v>null</x:v>
      </x:c>
      <x:c r="H472" s="90" t="str">
        <x:v>null</x:v>
      </x:c>
      <x:c r="I472" s="90" t="n">
        <x:v>200</x:v>
      </x:c>
      <x:c r="J472" s="90" t="str">
        <x:v>{"unread_count":0}</x:v>
      </x:c>
      <x:c r="K472" s="89" t="str"/>
    </x:row>
    <x:row r="473" ht="35" customHeight="1">
      <x:c r="A473" s="89" t="str">
        <x:v>ALLREAD-005</x:v>
      </x:c>
      <x:c r="B473" s="89" t="str">
        <x:v>Mark All Notifications Read</x:v>
      </x:c>
      <x:c r="C473" s="89" t="str">
        <x:v>Passed</x:v>
      </x:c>
      <x:c r="D473" s="89" t="n">
        <x:v>6</x:v>
      </x:c>
      <x:c r="E473" s="89" t="str">
        <x:v>GET</x:v>
      </x:c>
      <x:c r="F473" s="89" t="str">
        <x:v>/api/v1/notifications/unread-count</x:v>
      </x:c>
      <x:c r="G473" s="90" t="str">
        <x:v>null</x:v>
      </x:c>
      <x:c r="H473" s="90" t="str">
        <x:v>null</x:v>
      </x:c>
      <x:c r="I473" s="90" t="n">
        <x:v>200</x:v>
      </x:c>
      <x:c r="J473" s="90" t="str">
        <x:v>{"unread_count":1}</x:v>
      </x:c>
      <x:c r="K473" s="89" t="str"/>
    </x:row>
    <x:row r="474" ht="35" customHeight="1">
      <x:c r="A474" s="89" t="str">
        <x:v>ALLREAD-005</x:v>
      </x:c>
      <x:c r="B474" s="89" t="str">
        <x:v>Mark All Notifications Read</x:v>
      </x:c>
      <x:c r="C474" s="89" t="str">
        <x:v>Passed</x:v>
      </x:c>
      <x:c r="D474" s="89" t="n">
        <x:v>7</x:v>
      </x:c>
      <x:c r="E474" s="89" t="str">
        <x:v>GET</x:v>
      </x:c>
      <x:c r="F474" s="89" t="str">
        <x:v>/api/v1/notifications</x:v>
      </x:c>
      <x:c r="G474" s="90" t="str">
        <x:v>null</x:v>
      </x:c>
      <x:c r="H474" s="90" t="str">
        <x:v>null</x:v>
      </x:c>
      <x:c r="I474" s="90" t="n">
        <x:v>200</x:v>
      </x:c>
      <x:c r="J474" s="90" t="str">
        <x:v>{"items":[{"notification_id":197,"notification_type":"opportunity_created","title":"sofia","message":"QA fixture notification","opportunity_id":15,"read_at":null,"created_at":"2026-10-13T09:00:00Z","is_read":false}],"total":1,"limit":20,"offset":0}</x:v>
      </x:c>
      <x:c r="K474" s="89" t="str">
        <x:v>Case duration 00:00:01</x:v>
      </x:c>
    </x:row>
    <x:row r="475" ht="35" customHeight="1">
      <x:c r="A475" s="89" t="str">
        <x:v>ALLREAD-006</x:v>
      </x:c>
      <x:c r="B475" s="89" t="str">
        <x:v>Mark All Notifications Read</x:v>
      </x:c>
      <x:c r="C475" s="89" t="str">
        <x:v>Passed</x:v>
      </x:c>
      <x:c r="D475" s="89" t="n">
        <x:v>1</x:v>
      </x:c>
      <x:c r="E475" s="89" t="str">
        <x:v>POST</x:v>
      </x:c>
      <x:c r="F475" s="89" t="str">
        <x:v>/api/v1/auth/login</x:v>
      </x:c>
      <x:c r="G475" s="90" t="str">
        <x:v>null</x:v>
      </x:c>
      <x:c r="H475" s="90" t="str">
        <x:v>{"email":"alex.chen@grow8.dev","password":"&lt;redacted&gt;"}</x:v>
      </x:c>
      <x:c r="I475" s="90" t="n">
        <x:v>200</x:v>
      </x:c>
      <x:c r="J475" s="90" t="str">
        <x:v>{"access_token":"&lt;redacted&gt;","token_type":"bearer","expires_in":3600,"user":{"user_id":5,"email":"alex.chen@grow8.dev","full_name":"Alex Chen","role":"contributor"}}</x:v>
      </x:c>
      <x:c r="K475" s="89" t="str"/>
    </x:row>
    <x:row r="476" ht="35" customHeight="1">
      <x:c r="A476" s="89" t="str">
        <x:v>ALLREAD-006</x:v>
      </x:c>
      <x:c r="B476" s="89" t="str">
        <x:v>Mark All Notifications Read</x:v>
      </x:c>
      <x:c r="C476" s="89" t="str">
        <x:v>Passed</x:v>
      </x:c>
      <x:c r="D476" s="89" t="n">
        <x:v>2</x:v>
      </x:c>
      <x:c r="E476" s="89" t="str">
        <x:v>POST</x:v>
      </x:c>
      <x:c r="F476" s="89" t="str">
        <x:v>/api/v1/auth/login</x:v>
      </x:c>
      <x:c r="G476" s="90" t="str">
        <x:v>null</x:v>
      </x:c>
      <x:c r="H476" s="90" t="str">
        <x:v>{"email":"alex.chen@grow8.dev","password":"&lt;redacted&gt;"}</x:v>
      </x:c>
      <x:c r="I476" s="90" t="n">
        <x:v>200</x:v>
      </x:c>
      <x:c r="J476" s="90" t="str">
        <x:v>{"access_token":"&lt;redacted&gt;","token_type":"bearer","expires_in":3600,"user":{"user_id":5,"email":"alex.chen@grow8.dev","full_name":"Alex Chen","role":"contributor"}}</x:v>
      </x:c>
      <x:c r="K476" s="89" t="str"/>
    </x:row>
    <x:row r="477" ht="35" customHeight="1">
      <x:c r="A477" s="89" t="str">
        <x:v>ALLREAD-006</x:v>
      </x:c>
      <x:c r="B477" s="89" t="str">
        <x:v>Mark All Notifications Read</x:v>
      </x:c>
      <x:c r="C477" s="89" t="str">
        <x:v>Passed</x:v>
      </x:c>
      <x:c r="D477" s="89" t="n">
        <x:v>3</x:v>
      </x:c>
      <x:c r="E477" s="89" t="str">
        <x:v>POST</x:v>
      </x:c>
      <x:c r="F477" s="89" t="str">
        <x:v>/api/v1/notifications/read-all</x:v>
      </x:c>
      <x:c r="G477" s="90" t="str">
        <x:v>null</x:v>
      </x:c>
      <x:c r="H477" s="90" t="str">
        <x:v>null</x:v>
      </x:c>
      <x:c r="I477" s="90" t="n">
        <x:v>200</x:v>
      </x:c>
      <x:c r="J477" s="90" t="str">
        <x:v>{"marked_read":3}</x:v>
      </x:c>
      <x:c r="K477" s="89" t="str"/>
    </x:row>
    <x:row r="478" ht="35" customHeight="1">
      <x:c r="A478" s="89" t="str">
        <x:v>ALLREAD-006</x:v>
      </x:c>
      <x:c r="B478" s="89" t="str">
        <x:v>Mark All Notifications Read</x:v>
      </x:c>
      <x:c r="C478" s="89" t="str">
        <x:v>Passed</x:v>
      </x:c>
      <x:c r="D478" s="89" t="n">
        <x:v>4</x:v>
      </x:c>
      <x:c r="E478" s="89" t="str">
        <x:v>GET</x:v>
      </x:c>
      <x:c r="F478" s="89" t="str">
        <x:v>/api/v1/notifications/unread-count</x:v>
      </x:c>
      <x:c r="G478" s="90" t="str">
        <x:v>null</x:v>
      </x:c>
      <x:c r="H478" s="90" t="str">
        <x:v>null</x:v>
      </x:c>
      <x:c r="I478" s="90" t="n">
        <x:v>200</x:v>
      </x:c>
      <x:c r="J478" s="90" t="str">
        <x:v>{"unread_count":0}</x:v>
      </x:c>
      <x:c r="K478" s="89" t="str"/>
    </x:row>
    <x:row r="479" ht="35" customHeight="1">
      <x:c r="A479" s="89" t="str">
        <x:v>ALLREAD-006</x:v>
      </x:c>
      <x:c r="B479" s="89" t="str">
        <x:v>Mark All Notifications Read</x:v>
      </x:c>
      <x:c r="C479" s="89" t="str">
        <x:v>Passed</x:v>
      </x:c>
      <x:c r="D479" s="89" t="n">
        <x:v>5</x:v>
      </x:c>
      <x:c r="E479" s="89" t="str">
        <x:v>POST</x:v>
      </x:c>
      <x:c r="F479" s="89" t="str">
        <x:v>/api/v1/auth/login</x:v>
      </x:c>
      <x:c r="G479" s="90" t="str">
        <x:v>null</x:v>
      </x:c>
      <x:c r="H479" s="90" t="str">
        <x:v>{"email":"yyc.events@grow8.dev","password":"&lt;redacted&gt;"}</x:v>
      </x:c>
      <x:c r="I479" s="90" t="n">
        <x:v>200</x:v>
      </x:c>
      <x:c r="J479" s="90" t="str">
        <x:v>{"access_token":"&lt;redacted&gt;","token_type":"bearer","expires_in":3600,"user":{"user_id":4,"email":"yyc.events@grow8.dev","full_name":"Sofia Martinez","role":"creator"}}</x:v>
      </x:c>
      <x:c r="K479" s="89" t="str"/>
    </x:row>
    <x:row r="480" ht="35" customHeight="1">
      <x:c r="A480" s="89" t="str">
        <x:v>ALLREAD-006</x:v>
      </x:c>
      <x:c r="B480" s="89" t="str">
        <x:v>Mark All Notifications Read</x:v>
      </x:c>
      <x:c r="C480" s="89" t="str">
        <x:v>Passed</x:v>
      </x:c>
      <x:c r="D480" s="89" t="n">
        <x:v>6</x:v>
      </x:c>
      <x:c r="E480" s="89" t="str">
        <x:v>POST</x:v>
      </x:c>
      <x:c r="F480" s="89" t="str">
        <x:v>/api/v1/notifications/read-all</x:v>
      </x:c>
      <x:c r="G480" s="90" t="str">
        <x:v>null</x:v>
      </x:c>
      <x:c r="H480" s="90" t="str">
        <x:v>null</x:v>
      </x:c>
      <x:c r="I480" s="90" t="n">
        <x:v>200</x:v>
      </x:c>
      <x:c r="J480" s="90" t="str">
        <x:v>{"marked_read":1}</x:v>
      </x:c>
      <x:c r="K480" s="89" t="str"/>
    </x:row>
    <x:row r="481" ht="35" customHeight="1">
      <x:c r="A481" s="89" t="str">
        <x:v>ALLREAD-006</x:v>
      </x:c>
      <x:c r="B481" s="89" t="str">
        <x:v>Mark All Notifications Read</x:v>
      </x:c>
      <x:c r="C481" s="89" t="str">
        <x:v>Passed</x:v>
      </x:c>
      <x:c r="D481" s="89" t="n">
        <x:v>7</x:v>
      </x:c>
      <x:c r="E481" s="89" t="str">
        <x:v>GET</x:v>
      </x:c>
      <x:c r="F481" s="89" t="str">
        <x:v>/api/v1/notifications/unread-count</x:v>
      </x:c>
      <x:c r="G481" s="90" t="str">
        <x:v>null</x:v>
      </x:c>
      <x:c r="H481" s="90" t="str">
        <x:v>null</x:v>
      </x:c>
      <x:c r="I481" s="90" t="n">
        <x:v>200</x:v>
      </x:c>
      <x:c r="J481" s="90" t="str">
        <x:v>{"unread_count":0}</x:v>
      </x:c>
      <x:c r="K481" s="89" t="str"/>
    </x:row>
    <x:row r="482" ht="35" customHeight="1">
      <x:c r="A482" s="89" t="str">
        <x:v>ALLREAD-006</x:v>
      </x:c>
      <x:c r="B482" s="89" t="str">
        <x:v>Mark All Notifications Read</x:v>
      </x:c>
      <x:c r="C482" s="89" t="str">
        <x:v>Passed</x:v>
      </x:c>
      <x:c r="D482" s="89" t="n">
        <x:v>8</x:v>
      </x:c>
      <x:c r="E482" s="89" t="str">
        <x:v>POST</x:v>
      </x:c>
      <x:c r="F482" s="89" t="str">
        <x:v>/api/v1/auth/login</x:v>
      </x:c>
      <x:c r="G482" s="90" t="str">
        <x:v>null</x:v>
      </x:c>
      <x:c r="H482" s="90" t="str">
        <x:v>{"email":"admin@grow8.dev","password":"&lt;redacted&gt;"}</x:v>
      </x:c>
      <x:c r="I482" s="90" t="n">
        <x:v>200</x:v>
      </x:c>
      <x:c r="J482" s="90" t="str">
        <x:v>{"access_token":"&lt;redacted&gt;","token_type":"bearer","expires_in":3600,"user":{"user_id":1,"email":"admin@grow8.dev","full_name":"Ada Admin","role":"admin"}}</x:v>
      </x:c>
      <x:c r="K482" s="89" t="str"/>
    </x:row>
    <x:row r="483" ht="35" customHeight="1">
      <x:c r="A483" s="89" t="str">
        <x:v>ALLREAD-006</x:v>
      </x:c>
      <x:c r="B483" s="89" t="str">
        <x:v>Mark All Notifications Read</x:v>
      </x:c>
      <x:c r="C483" s="89" t="str">
        <x:v>Passed</x:v>
      </x:c>
      <x:c r="D483" s="89" t="n">
        <x:v>9</x:v>
      </x:c>
      <x:c r="E483" s="89" t="str">
        <x:v>POST</x:v>
      </x:c>
      <x:c r="F483" s="89" t="str">
        <x:v>/api/v1/notifications/read-all</x:v>
      </x:c>
      <x:c r="G483" s="90" t="str">
        <x:v>null</x:v>
      </x:c>
      <x:c r="H483" s="90" t="str">
        <x:v>null</x:v>
      </x:c>
      <x:c r="I483" s="90" t="n">
        <x:v>200</x:v>
      </x:c>
      <x:c r="J483" s="90" t="str">
        <x:v>{"marked_read":1}</x:v>
      </x:c>
      <x:c r="K483" s="89" t="str"/>
    </x:row>
    <x:row r="484" ht="35" customHeight="1">
      <x:c r="A484" s="89" t="str">
        <x:v>ALLREAD-006</x:v>
      </x:c>
      <x:c r="B484" s="89" t="str">
        <x:v>Mark All Notifications Read</x:v>
      </x:c>
      <x:c r="C484" s="89" t="str">
        <x:v>Passed</x:v>
      </x:c>
      <x:c r="D484" s="89" t="n">
        <x:v>10</x:v>
      </x:c>
      <x:c r="E484" s="89" t="str">
        <x:v>GET</x:v>
      </x:c>
      <x:c r="F484" s="89" t="str">
        <x:v>/api/v1/notifications/unread-count</x:v>
      </x:c>
      <x:c r="G484" s="90" t="str">
        <x:v>null</x:v>
      </x:c>
      <x:c r="H484" s="90" t="str">
        <x:v>null</x:v>
      </x:c>
      <x:c r="I484" s="90" t="n">
        <x:v>200</x:v>
      </x:c>
      <x:c r="J484" s="90" t="str">
        <x:v>{"unread_count":0}</x:v>
      </x:c>
      <x:c r="K484" s="89" t="str">
        <x:v>Case duration 00:00:02</x:v>
      </x:c>
    </x:row>
    <x:row r="485" ht="35" customHeight="1">
      <x:c r="A485" s="89" t="str">
        <x:v>ALLREAD-007</x:v>
      </x:c>
      <x:c r="B485" s="89" t="str">
        <x:v>Mark All Notifications Read</x:v>
      </x:c>
      <x:c r="C485" s="89" t="str">
        <x:v>Passed</x:v>
      </x:c>
      <x:c r="D485" s="89" t="n">
        <x:v>1</x:v>
      </x:c>
      <x:c r="E485" s="89" t="str">
        <x:v>POST</x:v>
      </x:c>
      <x:c r="F485" s="89" t="str">
        <x:v>/api/v1/auth/login</x:v>
      </x:c>
      <x:c r="G485" s="90" t="str">
        <x:v>null</x:v>
      </x:c>
      <x:c r="H485" s="90" t="str">
        <x:v>{"email":"alex.chen@grow8.dev","password":"&lt;redacted&gt;"}</x:v>
      </x:c>
      <x:c r="I485" s="90" t="n">
        <x:v>200</x:v>
      </x:c>
      <x:c r="J485" s="90" t="str">
        <x:v>{"access_token":"&lt;redacted&gt;","token_type":"bearer","expires_in":3600,"user":{"user_id":5,"email":"alex.chen@grow8.dev","full_name":"Alex Chen","role":"contributor"}}</x:v>
      </x:c>
      <x:c r="K485" s="89" t="str"/>
    </x:row>
    <x:row r="486" ht="35" customHeight="1">
      <x:c r="A486" s="89" t="str">
        <x:v>ALLREAD-007</x:v>
      </x:c>
      <x:c r="B486" s="89" t="str">
        <x:v>Mark All Notifications Read</x:v>
      </x:c>
      <x:c r="C486" s="89" t="str">
        <x:v>Passed</x:v>
      </x:c>
      <x:c r="D486" s="89" t="n">
        <x:v>2</x:v>
      </x:c>
      <x:c r="E486" s="89" t="str">
        <x:v>POST</x:v>
      </x:c>
      <x:c r="F486" s="89" t="str">
        <x:v>/api/v1/notifications/read-all</x:v>
      </x:c>
      <x:c r="G486" s="90" t="str">
        <x:v>null</x:v>
      </x:c>
      <x:c r="H486" s="90" t="str">
        <x:v>null</x:v>
      </x:c>
      <x:c r="I486" s="90" t="n">
        <x:v>401</x:v>
      </x:c>
      <x:c r="J486" s="90" t="str">
        <x:v>{"error":{"code":"AUTH_REQUIRED","message":"Authentication required"}}</x:v>
      </x:c>
      <x:c r="K486" s="89" t="str">
        <x:v>Case duration 852 ms</x:v>
      </x:c>
    </x:row>
    <x:row r="487" ht="35" customHeight="1">
      <x:c r="A487" s="89" t="str">
        <x:v>ALLREAD-008</x:v>
      </x:c>
      <x:c r="B487" s="89" t="str">
        <x:v>Mark All Notifications Read</x:v>
      </x:c>
      <x:c r="C487" s="89" t="str">
        <x:v>Passed</x:v>
      </x:c>
      <x:c r="D487" s="89" t="n">
        <x:v>1</x:v>
      </x:c>
      <x:c r="E487" s="89" t="str">
        <x:v>POST</x:v>
      </x:c>
      <x:c r="F487" s="89" t="str">
        <x:v>/api/v1/auth/login</x:v>
      </x:c>
      <x:c r="G487" s="90" t="str">
        <x:v>null</x:v>
      </x:c>
      <x:c r="H487" s="90" t="str">
        <x:v>{"email":"alex.chen@grow8.dev","password":"&lt;redacted&gt;"}</x:v>
      </x:c>
      <x:c r="I487" s="90" t="n">
        <x:v>200</x:v>
      </x:c>
      <x:c r="J487" s="90" t="str">
        <x:v>{"access_token":"&lt;redacted&gt;","token_type":"bearer","expires_in":3600,"user":{"user_id":5,"email":"alex.chen@grow8.dev","full_name":"Alex Chen","role":"contributor"}}</x:v>
      </x:c>
      <x:c r="K487" s="89" t="str"/>
    </x:row>
    <x:row r="488" ht="35" customHeight="1">
      <x:c r="A488" s="89" t="str">
        <x:v>ALLREAD-008</x:v>
      </x:c>
      <x:c r="B488" s="89" t="str">
        <x:v>Mark All Notifications Read</x:v>
      </x:c>
      <x:c r="C488" s="89" t="str">
        <x:v>Passed</x:v>
      </x:c>
      <x:c r="D488" s="89" t="n">
        <x:v>2</x:v>
      </x:c>
      <x:c r="E488" s="89" t="str">
        <x:v>POST</x:v>
      </x:c>
      <x:c r="F488" s="89" t="str">
        <x:v>/api/v1/notifications/read-all</x:v>
      </x:c>
      <x:c r="G488" s="90" t="str">
        <x:v>null</x:v>
      </x:c>
      <x:c r="H488" s="90" t="str">
        <x:v>null</x:v>
      </x:c>
      <x:c r="I488" s="90" t="n">
        <x:v>401</x:v>
      </x:c>
      <x:c r="J488" s="90" t="str">
        <x:v>{"error":{"code":"INVALID_TOKEN","message":"Invalid or expired token"}}</x:v>
      </x:c>
      <x:c r="K488" s="89" t="str">
        <x:v>Case duration 806 ms</x:v>
      </x:c>
    </x:row>
  </x:sheetData>
  <x:pageMargins left="0.7" right="0.7" top="0.75" bottom="0.75" header="0.3" footer="0.3"/>
  <x:tableParts count="1">
    <x:tablePart xmlns:r="http://schemas.openxmlformats.org/officeDocument/2006/relationships" r:id="Rcc49e2839794416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3" hidden="0" customWidth="1"/>
    <x:col min="3" max="3" width="24" hidden="0" customWidth="1"/>
    <x:col min="4" max="4" width="13" hidden="0" customWidth="1"/>
    <x:col min="5" max="5" width="25" hidden="0" customWidth="1"/>
    <x:col min="6" max="6" width="13" hidden="0" customWidth="1"/>
    <x:col min="7" max="7" width="23" hidden="0" customWidth="1"/>
    <x:col min="8" max="8" width="24" hidden="0" customWidth="1"/>
  </x:cols>
  <x:sheetData>
    <x:row r="1" ht="38" customHeight="1">
      <x:c r="A1" s="96" t="str">
        <x:v>GROW8  |  BACKEND EXECUTION RESULTS</x:v>
      </x:c>
      <x:c r="B1" s="96"/>
      <x:c r="C1" s="96"/>
      <x:c r="D1" s="96"/>
      <x:c r="E1" s="96"/>
      <x:c r="F1" s="96"/>
      <x:c r="G1" s="96"/>
      <x:c r="H1" s="96"/>
    </x:row>
    <x:row r="3" ht="28" customHeight="1">
      <x:c r="A3" s="98" t="str">
        <x:v>Pytest HTML execution  •  Report generated 28 Oct 2026, 06:04:29  •  Runtime 02:02</x:v>
      </x:c>
      <x:c r="B3" s="98"/>
      <x:c r="C3" s="98"/>
      <x:c r="D3" s="98"/>
      <x:c r="E3" s="98"/>
      <x:c r="F3" s="98"/>
      <x:c r="G3" s="98"/>
      <x:c r="H3" s="98"/>
    </x:row>
    <x:row r="5" ht="34" customHeight="1">
      <x:c r="A5" s="102" t="str">
        <x:v>APPROVED CASES</x:v>
      </x:c>
      <x:c r="B5" s="105" t="n">
        <x:v>237</x:v>
      </x:c>
      <x:c r="C5" s="102" t="str">
        <x:v>EXECUTED</x:v>
      </x:c>
      <x:c r="D5" s="105" t="n">
        <x:v>232</x:v>
      </x:c>
      <x:c r="E5" s="102" t="str">
        <x:v>PASSED</x:v>
      </x:c>
      <x:c r="F5" s="106" t="n">
        <x:v>231</x:v>
      </x:c>
      <x:c r="G5" s="102" t="str">
        <x:v>FAILED</x:v>
      </x:c>
      <x:c r="H5" s="107" t="n">
        <x:v>1</x:v>
      </x:c>
    </x:row>
    <x:row r="6" ht="34" customHeight="1">
      <x:c r="A6" s="103" t="str">
        <x:v>SKIPPED</x:v>
      </x:c>
      <x:c r="B6" s="103" t="n">
        <x:v>5</x:v>
      </x:c>
      <x:c r="C6" s="103" t="str">
        <x:v>NOT RUN</x:v>
      </x:c>
      <x:c r="D6" s="103" t="n">
        <x:v>0</x:v>
      </x:c>
      <x:c r="E6" s="103" t="str">
        <x:v>EXECUTED PASS RATE</x:v>
      </x:c>
      <x:c r="F6" s="104" t="n">
        <x:f>IFERROR(F5/D5,0)</x:f>
        <x:v>0.9956896551724138</x:v>
      </x:c>
      <x:c r="G6" s="103" t="str">
        <x:v>REPORT SOURCE</x:v>
      </x:c>
      <x:c r="H6" s="103" t="str">
        <x:v>backend_report.html</x:v>
      </x:c>
    </x:row>
    <x:row r="9" ht="28" customHeight="1">
      <x:c r="A9" s="109" t="str">
        <x:v>OPEN FAILURE — AUTH-024</x:v>
      </x:c>
      <x:c r="B9" s="109"/>
      <x:c r="C9" s="109"/>
      <x:c r="D9" s="109"/>
      <x:c r="E9" s="109"/>
      <x:c r="F9" s="109"/>
      <x:c r="G9" s="109"/>
      <x:c r="H9" s="109"/>
    </x:row>
    <x:row r="10" ht="39" customHeight="1">
      <x:c r="A10" s="110" t="str">
        <x:v>AUTH-024 expected HTTP 422 for null email/password; actual HTTP 200. The captured request sent valid credentials. The test helper substitutes the default email when passed None, so this run does not establish a backend validation bug. Fix the test payload construction, rerun AUTH-024, and import the new report.</x:v>
      </x:c>
      <x:c r="B10" s="110"/>
      <x:c r="C10" s="110"/>
      <x:c r="D10" s="110"/>
      <x:c r="E10" s="110"/>
      <x:c r="F10" s="110"/>
      <x:c r="G10" s="110"/>
      <x:c r="H10" s="110"/>
    </x:row>
    <x:row r="11" ht="39" customHeight="1">
      <x:c r="A11" s="110"/>
      <x:c r="B11" s="110"/>
      <x:c r="C11" s="110"/>
      <x:c r="D11" s="110"/>
      <x:c r="E11" s="110"/>
      <x:c r="F11" s="110"/>
      <x:c r="G11" s="110"/>
      <x:c r="H11" s="110"/>
    </x:row>
    <x:row r="13" ht="27" customHeight="1">
      <x:c r="A13" s="112" t="str">
        <x:v>DEFERRED / SKIPPED</x:v>
      </x:c>
      <x:c r="B13" s="112"/>
      <x:c r="C13" s="112"/>
      <x:c r="D13" s="112"/>
      <x:c r="E13" s="112"/>
      <x:c r="F13" s="112"/>
      <x:c r="G13" s="112"/>
      <x:c r="H13" s="112"/>
    </x:row>
    <x:row r="14" ht="31" customHeight="1">
      <x:c r="A14" s="110" t="str">
        <x:v>HLTH-002, HLTH-003, HLTH-004, HLTH-005 and HLTH-010 were intentionally skipped because dependency-failure / infrastructure testing is outside the current streamlined scope.</x:v>
      </x:c>
      <x:c r="B14" s="110"/>
      <x:c r="C14" s="110"/>
      <x:c r="D14" s="110"/>
      <x:c r="E14" s="110"/>
      <x:c r="F14" s="110"/>
      <x:c r="G14" s="110"/>
      <x:c r="H14" s="110"/>
    </x:row>
    <x:row r="15" ht="31" customHeight="1">
      <x:c r="A15" s="110"/>
      <x:c r="B15" s="110"/>
      <x:c r="C15" s="110"/>
      <x:c r="D15" s="110"/>
      <x:c r="E15" s="110"/>
      <x:c r="F15" s="110"/>
      <x:c r="G15" s="110"/>
      <x:c r="H15" s="110"/>
    </x:row>
    <x:row r="17" ht="28" customHeight="1">
      <x:c r="A17" s="85" t="str">
        <x:v>WHERE TO FIND THE RESULTS</x:v>
      </x:c>
      <x:c r="B17" s="85"/>
      <x:c r="C17" s="85"/>
      <x:c r="D17" s="85"/>
      <x:c r="E17" s="85"/>
      <x:c r="F17" s="85"/>
      <x:c r="G17" s="85"/>
      <x:c r="H17" s="85"/>
    </x:row>
    <x:row r="18" ht="35" customHeight="1">
      <x:c r="A18" s="110" t="str">
        <x:v>Approved Cases — one row per approved ID with actual status, HTTP result and notes.  |  API Summary — per-endpoint counts.  |  HTTP Evidence — all 487 captured HTTP calls with sanitized request/response excerpts. Full HTML remains the source of record.</x:v>
      </x:c>
      <x:c r="B18" s="110"/>
      <x:c r="C18" s="110"/>
      <x:c r="D18" s="110"/>
      <x:c r="E18" s="110"/>
      <x:c r="F18" s="110"/>
      <x:c r="G18" s="110"/>
      <x:c r="H18" s="110"/>
    </x:row>
    <x:row r="19" ht="35" customHeight="1">
      <x:c r="A19" s="110"/>
      <x:c r="B19" s="110"/>
      <x:c r="C19" s="110"/>
      <x:c r="D19" s="110"/>
      <x:c r="E19" s="110"/>
      <x:c r="F19" s="110"/>
      <x:c r="G19" s="110"/>
      <x:c r="H19" s="110"/>
    </x:row>
  </x:sheetData>
  <x:mergeCells>
    <x:mergeCell ref="A1:H1"/>
    <x:mergeCell ref="A3:H3"/>
    <x:mergeCell ref="A9:H9"/>
    <x:mergeCell ref="A10:H11"/>
    <x:mergeCell ref="A13:H13"/>
    <x:mergeCell ref="A14:H15"/>
    <x:mergeCell ref="A17:H17"/>
    <x:mergeCell ref="A18:H19"/>
  </x:mergeCells>
  <x:pageMargins left="0.7" right="0.7" top="0.75" bottom="0.75" header="0.3" footer="0.3"/>
</x:worksheet>
</file>