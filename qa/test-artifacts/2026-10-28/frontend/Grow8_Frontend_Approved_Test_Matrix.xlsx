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bb8a4e9934e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09121ab997c4932"/>
    <x:sheet xmlns:r="http://schemas.openxmlformats.org/officeDocument/2006/relationships" name="Approved Test Cases" sheetId="2" r:id="Ra8fc9a49dd5b4a6c"/>
    <x:sheet xmlns:r="http://schemas.openxmlformats.org/officeDocument/2006/relationships" name="Automation Roadmap" sheetId="3" r:id="R99fed1b5dd8f4806"/>
    <x:sheet xmlns:r="http://schemas.openxmlformats.org/officeDocument/2006/relationships" name="Fixtures and Evidence" sheetId="4" r:id="Rd2a66ab5efd9423d"/>
    <x:sheet xmlns:r="http://schemas.openxmlformats.org/officeDocument/2006/relationships" name="Known Gaps" sheetId="5" r:id="Rd27eabd8cc5249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17C81"/>
      <x:name val="Carlito"/>
    </x:font>
    <x:font>
      <x:b/>
      <x:sz val="10"/>
      <x:color rgb="FFFFFFFF"/>
      <x:name val="Carlito"/>
    </x:font>
    <x:font>
      <x:sz val="10"/>
      <x:color rgb="FF1D3042"/>
      <x:name val="Carlito"/>
    </x:font>
    <x:font>
      <x:b/>
      <x:sz val="10"/>
      <x:color rgb="FF1D3042"/>
      <x:name val="Carlito"/>
    </x:font>
    <x:font>
      <x:b/>
      <x:sz val="10"/>
      <x:color rgb="FF117C81"/>
      <x:name val="Carlito"/>
    </x:font>
    <x:font>
      <x:sz val="11"/>
      <x:color rgb="FF1D3042"/>
      <x:name val="Carlito"/>
    </x:font>
    <x:font>
      <x:b/>
      <x:sz val="11"/>
      <x:color rgb="FFFFFFFF"/>
      <x:name val="Carlito"/>
    </x:font>
    <x:font>
      <x:b/>
      <x:sz val="13"/>
      <x:color rgb="FF19324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9324F"/>
      </x:patternFill>
    </x:fill>
    <x:fill>
      <x:patternFill patternType="solid">
        <x:fgColor rgb="FFE6F3F1"/>
      </x:patternFill>
    </x:fill>
    <x:fill>
      <x:patternFill patternType="solid">
        <x:fgColor rgb="FF117C81"/>
      </x:patternFill>
    </x:fill>
    <x:fill>
      <x:patternFill patternType="solid">
        <x:fgColor rgb="FFFFF1D6"/>
      </x:patternFill>
    </x:fill>
    <x:fill>
      <x:patternFill patternType="solid">
        <x:fgColor rgb="FFEAF1FC"/>
      </x:patternFill>
    </x:fill>
    <x:fill>
      <x:patternFill patternType="solid">
        <x:fgColor rgb="FFF2F5F9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0" fillId="6" borderId="1" xfId="0" applyNumberFormat="1" applyFont="1" applyFill="1" applyBorder="1"/>
    <x:xf numFmtId="0" fontId="9" fillId="6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E4F3DF"/>
        </x:patternFill>
      </x:fill>
    </x:dxf>
    <x:dxf>
      <x:fill>
        <x:patternFill patternType="solid">
          <x:bgColor rgb="FFFF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327c78c2374f6c" /><Relationship Type="http://schemas.openxmlformats.org/officeDocument/2006/relationships/theme" Target="/xl/theme/theme1.xml" Id="Ra51fd0b03b454e31" /><Relationship Type="http://schemas.openxmlformats.org/officeDocument/2006/relationships/sharedStrings" Target="/xl/sharedStrings.xml" Id="Re47b96a2e94347b8" /><Relationship Type="http://schemas.openxmlformats.org/officeDocument/2006/relationships/worksheet" Target="/xl/worksheets/sheet1.xml" Id="R509121ab997c4932" /><Relationship Type="http://schemas.openxmlformats.org/officeDocument/2006/relationships/worksheet" Target="/xl/worksheets/sheet2.xml" Id="Ra8fc9a49dd5b4a6c" /><Relationship Type="http://schemas.openxmlformats.org/officeDocument/2006/relationships/worksheet" Target="/xl/worksheets/sheet3.xml" Id="R99fed1b5dd8f4806" /><Relationship Type="http://schemas.openxmlformats.org/officeDocument/2006/relationships/worksheet" Target="/xl/worksheets/sheet4.xml" Id="Rd2a66ab5efd9423d" /><Relationship Type="http://schemas.openxmlformats.org/officeDocument/2006/relationships/worksheet" Target="/xl/worksheets/sheet5.xml" Id="Rd27eabd8cc524987" /></Relationships>
</file>

<file path=xl/tables/table1.xml><?xml version="1.0" encoding="utf-8"?>
<x:table xmlns:x="http://schemas.openxmlformats.org/spreadsheetml/2006/main" id="1" name="ApprovedFrontendCases" displayName="ApprovedFrontendCases" ref="A4:J66" headerRowCount="1" totalsRowCount="0" totalsRowShown="0">
  <x:tableColumns count="10">
    <x:tableColumn id="1" name="Test ID"/>
    <x:tableColumn id="2" name="Page"/>
    <x:tableColumn id="3" name="Route"/>
    <x:tableColumn id="4" name="Suite"/>
    <x:tableColumn id="5" name="Scenario"/>
    <x:tableColumn id="6" name="Expected Result"/>
    <x:tableColumn id="7" name="Execution Approach"/>
    <x:tableColumn id="8" name="Approval"/>
    <x:tableColumn id="9" name="Execution Status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tomationStages" displayName="AutomationStages" ref="A4:F12" headerRowCount="1" totalsRowCount="0" totalsRowShown="0">
  <x:tableColumns count="6">
    <x:tableColumn id="1" name="Phase"/>
    <x:tableColumn id="2" name="Workstream"/>
    <x:tableColumn id="3" name="Implementation activity"/>
    <x:tableColumn id="4" name="Target location"/>
    <x:tableColumn id="5" name="Acceptance gate"/>
    <x:tableColumn id="6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xtureChecklist" displayName="FixtureChecklist" ref="A4:D21" headerRowCount="1" totalsRowCount="0" totalsRowShown="0">
  <x:tableColumns count="4">
    <x:tableColumn id="1" name="Area"/>
    <x:tableColumn id="2" name="Strategy"/>
    <x:tableColumn id="3" name="Implementation detail"/>
    <x:tableColumn id="4" name="Constraint / 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rontendKnownGaps" displayName="FrontendKnownGaps" ref="A4:D13" headerRowCount="1" totalsRowCount="0" totalsRowShown="0">
  <x:tableColumns count="4">
    <x:tableColumn id="1" name="Area"/>
    <x:tableColumn id="2" name="Observation"/>
    <x:tableColumn id="3" name="Associated case IDs"/>
    <x:tableColumn id="4" name="Handling during implemen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2479a3474e4f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c19f9a357943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e58aa966a84a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d832e025bd4d92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20" hidden="0" customWidth="1"/>
    <x:col min="5" max="5" width="15" hidden="0" customWidth="1"/>
    <x:col min="6" max="6" width="3" hidden="0" customWidth="1"/>
    <x:col min="7" max="7" width="22" hidden="0" customWidth="1"/>
    <x:col min="8" max="8" width="18" hidden="0" customWidth="1"/>
  </x:cols>
  <x:sheetData>
    <x:row r="1" ht="40" customHeight="1">
      <x:c r="A1" s="4" t="str">
        <x:v>GROW8  /  FRONTEND AUTOMATION PLAN</x:v>
      </x:c>
      <x:c r="B1" s="4"/>
      <x:c r="C1" s="4"/>
      <x:c r="D1" s="4"/>
      <x:c r="E1" s="4"/>
      <x:c r="F1" s="4"/>
      <x:c r="G1" s="4"/>
      <x:c r="H1" s="4"/>
    </x:row>
    <x:row r="2" ht="40" customHeight="1">
      <x:c r="A2" s="4"/>
      <x:c r="B2" s="4"/>
      <x:c r="C2" s="4"/>
      <x:c r="D2" s="4"/>
      <x:c r="E2" s="4"/>
      <x:c r="F2" s="4"/>
      <x:c r="G2" s="4"/>
      <x:c r="H2" s="4"/>
    </x:row>
    <x:row r="3" ht="29" customHeight="1">
      <x:c r="A3" s="9" t="str">
        <x:v>Approved scope: five pages / 62 cases. Implementation and execution are not yet complete.</x:v>
      </x:c>
      <x:c r="B3" s="9"/>
      <x:c r="C3" s="9"/>
      <x:c r="D3" s="9"/>
      <x:c r="E3" s="9"/>
      <x:c r="F3" s="9"/>
      <x:c r="G3" s="9"/>
      <x:c r="H3" s="9"/>
    </x:row>
    <x:row r="6" ht="35" customHeight="1">
      <x:c r="A6" s="15" t="str">
        <x:v>Page</x:v>
      </x:c>
      <x:c r="B6" s="15" t="str">
        <x:v>Smoke</x:v>
      </x:c>
      <x:c r="C6" s="15" t="str">
        <x:v>Sanity</x:v>
      </x:c>
      <x:c r="D6" s="15" t="str">
        <x:v>Regression</x:v>
      </x:c>
      <x:c r="E6" s="15" t="str">
        <x:v>Total</x:v>
      </x:c>
      <x:c r="G6" s="39" t="str">
        <x:v>Approved</x:v>
      </x:c>
      <x:c r="H6" s="39" t="n">
        <x:f>COUNTA('Approved Test Cases'!$A$5:$A$66)</x:f>
        <x:v>62</x:v>
      </x:c>
    </x:row>
    <x:row r="7" ht="31" customHeight="1">
      <x:c r="A7" s="34" t="str">
        <x:v>Home</x:v>
      </x:c>
      <x:c r="B7" s="34" t="n">
        <x:f>COUNTIFS('Approved Test Cases'!$B$5:$B$66,$A7,'Approved Test Cases'!$D$5:$D$66,B$6)</x:f>
        <x:v>2</x:v>
      </x:c>
      <x:c r="C7" s="34" t="n">
        <x:f>COUNTIFS('Approved Test Cases'!$B$5:$B$66,$A7,'Approved Test Cases'!$D$5:$D$66,C$6)</x:f>
        <x:v>2</x:v>
      </x:c>
      <x:c r="D7" s="34" t="n">
        <x:f>COUNTIFS('Approved Test Cases'!$B$5:$B$66,$A7,'Approved Test Cases'!$D$5:$D$66,D$6)</x:f>
        <x:v>5</x:v>
      </x:c>
      <x:c r="E7" s="34" t="n">
        <x:f>SUM(B7:D7)</x:f>
        <x:v>9</x:v>
      </x:c>
    </x:row>
    <x:row r="8" ht="31" customHeight="1">
      <x:c r="A8" s="34" t="str">
        <x:v>Browse Opportunities</x:v>
      </x:c>
      <x:c r="B8" s="34" t="n">
        <x:f>COUNTIFS('Approved Test Cases'!$B$5:$B$66,$A8,'Approved Test Cases'!$D$5:$D$66,B$6)</x:f>
        <x:v>3</x:v>
      </x:c>
      <x:c r="C8" s="34" t="n">
        <x:f>COUNTIFS('Approved Test Cases'!$B$5:$B$66,$A8,'Approved Test Cases'!$D$5:$D$66,C$6)</x:f>
        <x:v>4</x:v>
      </x:c>
      <x:c r="D8" s="34" t="n">
        <x:f>COUNTIFS('Approved Test Cases'!$B$5:$B$66,$A8,'Approved Test Cases'!$D$5:$D$66,D$6)</x:f>
        <x:v>11</x:v>
      </x:c>
      <x:c r="E8" s="34" t="n">
        <x:f>SUM(B8:D8)</x:f>
        <x:v>18</x:v>
      </x:c>
    </x:row>
    <x:row r="9" ht="35" customHeight="1">
      <x:c r="A9" s="34" t="str">
        <x:v>Creator Dashboard</x:v>
      </x:c>
      <x:c r="B9" s="34" t="n">
        <x:f>COUNTIFS('Approved Test Cases'!$B$5:$B$66,$A9,'Approved Test Cases'!$D$5:$D$66,B$6)</x:f>
        <x:v>2</x:v>
      </x:c>
      <x:c r="C9" s="34" t="n">
        <x:f>COUNTIFS('Approved Test Cases'!$B$5:$B$66,$A9,'Approved Test Cases'!$D$5:$D$66,C$6)</x:f>
        <x:v>4</x:v>
      </x:c>
      <x:c r="D9" s="34" t="n">
        <x:f>COUNTIFS('Approved Test Cases'!$B$5:$B$66,$A9,'Approved Test Cases'!$D$5:$D$66,D$6)</x:f>
        <x:v>4</x:v>
      </x:c>
      <x:c r="E9" s="34" t="n">
        <x:f>SUM(B9:D9)</x:f>
        <x:v>10</x:v>
      </x:c>
      <x:c r="G9" s="39" t="str">
        <x:v>Not Executed</x:v>
      </x:c>
      <x:c r="H9" s="39" t="n">
        <x:f>COUNTIF('Approved Test Cases'!$I$5:$I$66,"Not Executed")</x:f>
        <x:v>62</x:v>
      </x:c>
    </x:row>
    <x:row r="10" ht="31" customHeight="1">
      <x:c r="A10" s="34" t="str">
        <x:v>My Opportunities</x:v>
      </x:c>
      <x:c r="B10" s="34" t="n">
        <x:f>COUNTIFS('Approved Test Cases'!$B$5:$B$66,$A10,'Approved Test Cases'!$D$5:$D$66,B$6)</x:f>
        <x:v>2</x:v>
      </x:c>
      <x:c r="C10" s="34" t="n">
        <x:f>COUNTIFS('Approved Test Cases'!$B$5:$B$66,$A10,'Approved Test Cases'!$D$5:$D$66,C$6)</x:f>
        <x:v>2</x:v>
      </x:c>
      <x:c r="D10" s="34" t="n">
        <x:f>COUNTIFS('Approved Test Cases'!$B$5:$B$66,$A10,'Approved Test Cases'!$D$5:$D$66,D$6)</x:f>
        <x:v>6</x:v>
      </x:c>
      <x:c r="E10" s="34" t="n">
        <x:f>SUM(B10:D10)</x:f>
        <x:v>10</x:v>
      </x:c>
    </x:row>
    <x:row r="11" ht="31" customHeight="1">
      <x:c r="A11" s="34" t="str">
        <x:v>Create Opportunity</x:v>
      </x:c>
      <x:c r="B11" s="34" t="n">
        <x:f>COUNTIFS('Approved Test Cases'!$B$5:$B$66,$A11,'Approved Test Cases'!$D$5:$D$66,B$6)</x:f>
        <x:v>3</x:v>
      </x:c>
      <x:c r="C11" s="34" t="n">
        <x:f>COUNTIFS('Approved Test Cases'!$B$5:$B$66,$A11,'Approved Test Cases'!$D$5:$D$66,C$6)</x:f>
        <x:v>4</x:v>
      </x:c>
      <x:c r="D11" s="34" t="n">
        <x:f>COUNTIFS('Approved Test Cases'!$B$5:$B$66,$A11,'Approved Test Cases'!$D$5:$D$66,D$6)</x:f>
        <x:v>8</x:v>
      </x:c>
      <x:c r="E11" s="34" t="n">
        <x:f>SUM(B11:D11)</x:f>
        <x:v>15</x:v>
      </x:c>
    </x:row>
    <x:row r="12" ht="35" customHeight="1">
      <x:c r="A12" s="36" t="str">
        <x:v>TOTAL APPROVED</x:v>
      </x:c>
      <x:c r="B12" s="36" t="n">
        <x:f>SUM(B7:B11)</x:f>
        <x:v>12</x:v>
      </x:c>
      <x:c r="C12" s="36" t="n">
        <x:f>SUM(C7:C11)</x:f>
        <x:v>16</x:v>
      </x:c>
      <x:c r="D12" s="36" t="n">
        <x:f>SUM(D7:D11)</x:f>
        <x:v>34</x:v>
      </x:c>
      <x:c r="E12" s="36" t="n">
        <x:f>SUM(E7:E11)</x:f>
        <x:v>62</x:v>
      </x:c>
      <x:c r="G12" s="39" t="str">
        <x:v>Executed</x:v>
      </x:c>
      <x:c r="H12" s="39" t="n">
        <x:f>COUNTIF('Approved Test Cases'!$I$5:$I$66,"Passed")+COUNTIF('Approved Test Cases'!$I$5:$I$66,"Failed")+COUNTIF('Approved Test Cases'!$I$5:$I$66,"Skipped")+COUNTIF('Approved Test Cases'!$I$5:$I$66,"Blocked")</x:f>
        <x:v>0</x:v>
      </x:c>
    </x:row>
    <x:row r="15" ht="32" customHeight="1">
      <x:c r="A15" s="42" t="str">
        <x:v>EXECUTION ORDER  /  SMOKE  →  SANITY  →  REGRESSION  →  ALL</x:v>
      </x:c>
      <x:c r="B15" s="42"/>
      <x:c r="C15" s="42"/>
      <x:c r="D15" s="42"/>
      <x:c r="E15" s="42"/>
      <x:c r="F15" s="42"/>
      <x:c r="G15" s="42"/>
      <x:c r="H15" s="42"/>
    </x:row>
    <x:row r="17" ht="38" customHeight="1">
      <x:c r="A17" s="46" t="str">
        <x:v>Each Playwright test keeps the approved ID and one suite tag. The current repo runner needs adjustment to isolate the 34 regression-only cases.</x:v>
      </x:c>
      <x:c r="B17" s="46"/>
      <x:c r="C17" s="46"/>
      <x:c r="D17" s="46"/>
      <x:c r="E17" s="46"/>
      <x:c r="F17" s="46"/>
      <x:c r="G17" s="46"/>
      <x:c r="H17" s="46"/>
    </x:row>
    <x:row r="19" ht="38" customHeight="1">
      <x:c r="A19" s="46" t="str">
        <x:v>QA directory: qa/frontend/tests/{smoke,sanity,regression}   •   Reports: qa/reports/frontend/&lt;suite&gt;/&lt;run-id&gt;/html/index.html</x:v>
      </x:c>
      <x:c r="B19" s="46"/>
      <x:c r="C19" s="46"/>
      <x:c r="D19" s="46"/>
      <x:c r="E19" s="46"/>
      <x:c r="F19" s="46"/>
      <x:c r="G19" s="46"/>
      <x:c r="H19" s="46"/>
    </x:row>
  </x:sheetData>
  <x:mergeCells>
    <x:mergeCell ref="A1:H2"/>
    <x:mergeCell ref="A3:H3"/>
    <x:mergeCell ref="A15:H15"/>
    <x:mergeCell ref="A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30" hidden="0" customWidth="1"/>
    <x:col min="4" max="4" width="15" hidden="0" customWidth="1"/>
    <x:col min="5" max="5" width="48" hidden="0" customWidth="1"/>
    <x:col min="6" max="6" width="64" hidden="0" customWidth="1"/>
    <x:col min="7" max="7" width="23" hidden="0" customWidth="1"/>
    <x:col min="8" max="8" width="17" hidden="0" customWidth="1"/>
    <x:col min="9" max="9" width="19" hidden="0" customWidth="1"/>
    <x:col min="10" max="10" width="61" hidden="0" customWidth="1"/>
  </x:cols>
  <x:sheetData>
    <x:row r="1" ht="40" customHeight="1">
      <x:c r="A1" s="4" t="str">
        <x:v>GROW8  /  FRONTEND TEST CASE REGISTER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5" customHeight="1">
      <x:c r="A3" s="9" t="str">
        <x:v>Status: approved scope | Execution: not started | Case IDs are unique and frozen</x:v>
      </x:c>
      <x:c r="B3" s="9" t="str"/>
      <x:c r="C3" s="9" t="str"/>
      <x:c r="D3" s="9" t="str"/>
      <x:c r="E3" s="9" t="str"/>
      <x:c r="F3" s="9" t="str"/>
      <x:c r="G3" s="9" t="str"/>
      <x:c r="H3" s="9" t="str"/>
      <x:c r="I3" s="9" t="str"/>
      <x:c r="J3" s="9" t="str"/>
    </x:row>
    <x:row r="4" ht="27" customHeight="1">
      <x:c r="A4" s="15" t="str">
        <x:v>Test ID</x:v>
      </x:c>
      <x:c r="B4" s="15" t="str">
        <x:v>Page</x:v>
      </x:c>
      <x:c r="C4" s="15" t="str">
        <x:v>Route</x:v>
      </x:c>
      <x:c r="D4" s="15" t="str">
        <x:v>Suite</x:v>
      </x:c>
      <x:c r="E4" s="15" t="str">
        <x:v>Scenario</x:v>
      </x:c>
      <x:c r="F4" s="15" t="str">
        <x:v>Expected Result</x:v>
      </x:c>
      <x:c r="G4" s="15" t="str">
        <x:v>Execution Approach</x:v>
      </x:c>
      <x:c r="H4" s="15" t="str">
        <x:v>Approval</x:v>
      </x:c>
      <x:c r="I4" s="15" t="str">
        <x:v>Execution Status</x:v>
      </x:c>
      <x:c r="J4" s="15" t="str">
        <x:v>Notes</x:v>
      </x:c>
    </x:row>
    <x:row r="5" ht="35" customHeight="1">
      <x:c r="A5" s="28" t="str">
        <x:v>HOME-001</x:v>
      </x:c>
      <x:c r="B5" s="22" t="str">
        <x:v>Home</x:v>
      </x:c>
      <x:c r="C5" s="22" t="str">
        <x:v>/</x:v>
      </x:c>
      <x:c r="D5" s="22" t="str">
        <x:v>Smoke</x:v>
      </x:c>
      <x:c r="E5" s="22" t="str">
        <x:v>Open the Grow8 homepage</x:v>
      </x:c>
      <x:c r="F5" s="22" t="str">
        <x:v>Homepage loads; logo, hero heading and primary sections are visible</x:v>
      </x:c>
      <x:c r="G5" s="22" t="str">
        <x:v>Static UI</x:v>
      </x:c>
      <x:c r="H5" s="30" t="str">
        <x:v>Approved</x:v>
      </x:c>
      <x:c r="I5" s="32" t="str">
        <x:v>Not Executed</x:v>
      </x:c>
      <x:c r="J5" s="22" t="str"/>
    </x:row>
    <x:row r="6" ht="35" customHeight="1">
      <x:c r="A6" s="28" t="str">
        <x:v>HOME-002</x:v>
      </x:c>
      <x:c r="B6" s="22" t="str">
        <x:v>Home</x:v>
      </x:c>
      <x:c r="C6" s="22" t="str">
        <x:v>/</x:v>
      </x:c>
      <x:c r="D6" s="22" t="str">
        <x:v>Smoke</x:v>
      </x:c>
      <x:c r="E6" s="22" t="str">
        <x:v>Click the Grow8 logo</x:v>
      </x:c>
      <x:c r="F6" s="22" t="str">
        <x:v>Navigates to /</x:v>
      </x:c>
      <x:c r="G6" s="22" t="str">
        <x:v>Navigation</x:v>
      </x:c>
      <x:c r="H6" s="30" t="str">
        <x:v>Approved</x:v>
      </x:c>
      <x:c r="I6" s="32" t="str">
        <x:v>Not Executed</x:v>
      </x:c>
      <x:c r="J6" s="22" t="str"/>
    </x:row>
    <x:row r="7" ht="35" customHeight="1">
      <x:c r="A7" s="28" t="str">
        <x:v>HOME-003</x:v>
      </x:c>
      <x:c r="B7" s="22" t="str">
        <x:v>Home</x:v>
      </x:c>
      <x:c r="C7" s="22" t="str">
        <x:v>/</x:v>
      </x:c>
      <x:c r="D7" s="22" t="str">
        <x:v>Sanity</x:v>
      </x:c>
      <x:c r="E7" s="22" t="str">
        <x:v>Click Opportunities in the navbar</x:v>
      </x:c>
      <x:c r="F7" s="22" t="str">
        <x:v>Opens /opportunities</x:v>
      </x:c>
      <x:c r="G7" s="22" t="str">
        <x:v>Navigation</x:v>
      </x:c>
      <x:c r="H7" s="30" t="str">
        <x:v>Approved</x:v>
      </x:c>
      <x:c r="I7" s="32" t="str">
        <x:v>Not Executed</x:v>
      </x:c>
      <x:c r="J7" s="22" t="str"/>
    </x:row>
    <x:row r="8" ht="35" customHeight="1">
      <x:c r="A8" s="28" t="str">
        <x:v>HOME-004</x:v>
      </x:c>
      <x:c r="B8" s="22" t="str">
        <x:v>Home</x:v>
      </x:c>
      <x:c r="C8" s="22" t="str">
        <x:v>/</x:v>
      </x:c>
      <x:c r="D8" s="22" t="str">
        <x:v>Sanity</x:v>
      </x:c>
      <x:c r="E8" s="22" t="str">
        <x:v>Click Explore Opportunities</x:v>
      </x:c>
      <x:c r="F8" s="22" t="str">
        <x:v>Opens the Browse Opportunities page</x:v>
      </x:c>
      <x:c r="G8" s="22" t="str">
        <x:v>Navigation</x:v>
      </x:c>
      <x:c r="H8" s="30" t="str">
        <x:v>Approved</x:v>
      </x:c>
      <x:c r="I8" s="32" t="str">
        <x:v>Not Executed</x:v>
      </x:c>
      <x:c r="J8" s="22" t="str"/>
    </x:row>
    <x:row r="9" ht="35" customHeight="1">
      <x:c r="A9" s="28" t="str">
        <x:v>HOME-005</x:v>
      </x:c>
      <x:c r="B9" s="22" t="str">
        <x:v>Home</x:v>
      </x:c>
      <x:c r="C9" s="22" t="str">
        <x:v>/</x:v>
      </x:c>
      <x:c r="D9" s="22" t="str">
        <x:v>Regression</x:v>
      </x:c>
      <x:c r="E9" s="22" t="str">
        <x:v>Verify Contributor and Creator role cards</x:v>
      </x:c>
      <x:c r="F9" s="22" t="str">
        <x:v>Both cards display correct content and navigate to their configured routes</x:v>
      </x:c>
      <x:c r="G9" s="22" t="str">
        <x:v>Static UI / Navigation</x:v>
      </x:c>
      <x:c r="H9" s="30" t="str">
        <x:v>Approved</x:v>
      </x:c>
      <x:c r="I9" s="32" t="str">
        <x:v>Not Executed</x:v>
      </x:c>
      <x:c r="J9" s="22" t="str">
        <x:v>Placeholder destinations must be reported rather than falsely treated as complete workflows.</x:v>
      </x:c>
    </x:row>
    <x:row r="10" ht="35" customHeight="1">
      <x:c r="A10" s="28" t="str">
        <x:v>HOME-006</x:v>
      </x:c>
      <x:c r="B10" s="22" t="str">
        <x:v>Home</x:v>
      </x:c>
      <x:c r="C10" s="22" t="str">
        <x:v>/</x:v>
      </x:c>
      <x:c r="D10" s="22" t="str">
        <x:v>Regression</x:v>
      </x:c>
      <x:c r="E10" s="22" t="str">
        <x:v>Verify Featured Opportunities</x:v>
      </x:c>
      <x:c r="F10" s="22" t="str">
        <x:v>Three sample cards appear with title, organization and opportunity information</x:v>
      </x:c>
      <x:c r="G10" s="22" t="str">
        <x:v>Static UI</x:v>
      </x:c>
      <x:c r="H10" s="30" t="str">
        <x:v>Approved</x:v>
      </x:c>
      <x:c r="I10" s="32" t="str">
        <x:v>Not Executed</x:v>
      </x:c>
      <x:c r="J10" s="22" t="str">
        <x:v>Home page featured data is currently sample data.</x:v>
      </x:c>
    </x:row>
    <x:row r="11" ht="35" customHeight="1">
      <x:c r="A11" s="28" t="str">
        <x:v>HOME-007</x:v>
      </x:c>
      <x:c r="B11" s="22" t="str">
        <x:v>Home</x:v>
      </x:c>
      <x:c r="C11" s="22" t="str">
        <x:v>/</x:v>
      </x:c>
      <x:c r="D11" s="22" t="str">
        <x:v>Regression</x:v>
      </x:c>
      <x:c r="E11" s="22" t="str">
        <x:v>Click View All in Featured Opportunities</x:v>
      </x:c>
      <x:c r="F11" s="22" t="str">
        <x:v>Opens /opportunities</x:v>
      </x:c>
      <x:c r="G11" s="22" t="str">
        <x:v>Navigation</x:v>
      </x:c>
      <x:c r="H11" s="30" t="str">
        <x:v>Approved</x:v>
      </x:c>
      <x:c r="I11" s="32" t="str">
        <x:v>Not Executed</x:v>
      </x:c>
      <x:c r="J11" s="22" t="str"/>
    </x:row>
    <x:row r="12" ht="35" customHeight="1">
      <x:c r="A12" s="28" t="str">
        <x:v>HOME-008</x:v>
      </x:c>
      <x:c r="B12" s="22" t="str">
        <x:v>Home</x:v>
      </x:c>
      <x:c r="C12" s="22" t="str">
        <x:v>/</x:v>
      </x:c>
      <x:c r="D12" s="22" t="str">
        <x:v>Regression</x:v>
      </x:c>
      <x:c r="E12" s="22" t="str">
        <x:v>Verify About, Mission, Purpose and Vision sections</x:v>
      </x:c>
      <x:c r="F12" s="22" t="str">
        <x:v>All expected headings and descriptive content appear</x:v>
      </x:c>
      <x:c r="G12" s="22" t="str">
        <x:v>Static UI</x:v>
      </x:c>
      <x:c r="H12" s="30" t="str">
        <x:v>Approved</x:v>
      </x:c>
      <x:c r="I12" s="32" t="str">
        <x:v>Not Executed</x:v>
      </x:c>
      <x:c r="J12" s="22" t="str"/>
    </x:row>
    <x:row r="13" ht="35" customHeight="1">
      <x:c r="A13" s="28" t="str">
        <x:v>HOME-009</x:v>
      </x:c>
      <x:c r="B13" s="22" t="str">
        <x:v>Home</x:v>
      </x:c>
      <x:c r="C13" s="22" t="str">
        <x:v>/</x:v>
      </x:c>
      <x:c r="D13" s="22" t="str">
        <x:v>Regression</x:v>
      </x:c>
      <x:c r="E13" s="22" t="str">
        <x:v>Use Back to Top after scrolling</x:v>
      </x:c>
      <x:c r="F13" s="22" t="str">
        <x:v>Page scrolls back to the top</x:v>
      </x:c>
      <x:c r="G13" s="22" t="str">
        <x:v>Static UI</x:v>
      </x:c>
      <x:c r="H13" s="30" t="str">
        <x:v>Approved</x:v>
      </x:c>
      <x:c r="I13" s="32" t="str">
        <x:v>Not Executed</x:v>
      </x:c>
      <x:c r="J13" s="22" t="str"/>
    </x:row>
    <x:row r="14" ht="35" customHeight="1">
      <x:c r="A14" s="28" t="str">
        <x:v>BRW-001</x:v>
      </x:c>
      <x:c r="B14" s="22" t="str">
        <x:v>Browse Opportunities</x:v>
      </x:c>
      <x:c r="C14" s="22" t="str">
        <x:v>/opportunities</x:v>
      </x:c>
      <x:c r="D14" s="22" t="str">
        <x:v>Smoke</x:v>
      </x:c>
      <x:c r="E14" s="22" t="str">
        <x:v>Open Browse Opportunities page</x:v>
      </x:c>
      <x:c r="F14" s="22" t="str">
        <x:v>Page heading, search bar, filters, sorting and opportunity results are visible</x:v>
      </x:c>
      <x:c r="G14" s="22" t="str">
        <x:v>Mocked API</x:v>
      </x:c>
      <x:c r="H14" s="30" t="str">
        <x:v>Approved</x:v>
      </x:c>
      <x:c r="I14" s="32" t="str">
        <x:v>Not Executed</x:v>
      </x:c>
      <x:c r="J14" s="22" t="str"/>
    </x:row>
    <x:row r="15" ht="35" customHeight="1">
      <x:c r="A15" s="28" t="str">
        <x:v>BRW-002</x:v>
      </x:c>
      <x:c r="B15" s="22" t="str">
        <x:v>Browse Opportunities</x:v>
      </x:c>
      <x:c r="C15" s="22" t="str">
        <x:v>/opportunities</x:v>
      </x:c>
      <x:c r="D15" s="22" t="str">
        <x:v>Smoke</x:v>
      </x:c>
      <x:c r="E15" s="22" t="str">
        <x:v>Load opportunities from backend</x:v>
      </x:c>
      <x:c r="F15" s="22" t="str">
        <x:v>Opportunity cards show correct title, organization, location, work mode, hours, category and deadline from API response</x:v>
      </x:c>
      <x:c r="G15" s="22" t="str">
        <x:v>Mocked API</x:v>
      </x:c>
      <x:c r="H15" s="30" t="str">
        <x:v>Approved</x:v>
      </x:c>
      <x:c r="I15" s="32" t="str">
        <x:v>Not Executed</x:v>
      </x:c>
      <x:c r="J15" s="22" t="str">
        <x:v>Assert each visible card against its intercepted API fixture.</x:v>
      </x:c>
    </x:row>
    <x:row r="16" ht="35" customHeight="1">
      <x:c r="A16" s="28" t="str">
        <x:v>BRW-003</x:v>
      </x:c>
      <x:c r="B16" s="22" t="str">
        <x:v>Browse Opportunities</x:v>
      </x:c>
      <x:c r="C16" s="22" t="str">
        <x:v>/opportunities</x:v>
      </x:c>
      <x:c r="D16" s="22" t="str">
        <x:v>Sanity</x:v>
      </x:c>
      <x:c r="E16" s="22" t="str">
        <x:v>Search opportunities by title</x:v>
      </x:c>
      <x:c r="F16" s="22" t="str">
        <x:v>Only matching opportunities displayed; result count updates</x:v>
      </x:c>
      <x:c r="G16" s="22" t="str">
        <x:v>Mocked API</x:v>
      </x:c>
      <x:c r="H16" s="30" t="str">
        <x:v>Approved</x:v>
      </x:c>
      <x:c r="I16" s="32" t="str">
        <x:v>Not Executed</x:v>
      </x:c>
      <x:c r="J16" s="22" t="str"/>
    </x:row>
    <x:row r="17" ht="35" customHeight="1">
      <x:c r="A17" s="28" t="str">
        <x:v>BRW-004</x:v>
      </x:c>
      <x:c r="B17" s="22" t="str">
        <x:v>Browse Opportunities</x:v>
      </x:c>
      <x:c r="C17" s="22" t="str">
        <x:v>/opportunities</x:v>
      </x:c>
      <x:c r="D17" s="22" t="str">
        <x:v>Regression</x:v>
      </x:c>
      <x:c r="E17" s="22" t="str">
        <x:v>Search by organization name or skill</x:v>
      </x:c>
      <x:c r="F17" s="22" t="str">
        <x:v>Matching opportunities appear; search is case-insensitive</x:v>
      </x:c>
      <x:c r="G17" s="22" t="str">
        <x:v>Mocked API</x:v>
      </x:c>
      <x:c r="H17" s="30" t="str">
        <x:v>Approved</x:v>
      </x:c>
      <x:c r="I17" s="32" t="str">
        <x:v>Not Executed</x:v>
      </x:c>
      <x:c r="J17" s="22" t="str"/>
    </x:row>
    <x:row r="18" ht="35" customHeight="1">
      <x:c r="A18" s="28" t="str">
        <x:v>BRW-005</x:v>
      </x:c>
      <x:c r="B18" s="22" t="str">
        <x:v>Browse Opportunities</x:v>
      </x:c>
      <x:c r="C18" s="22" t="str">
        <x:v>/opportunities</x:v>
      </x:c>
      <x:c r="D18" s="22" t="str">
        <x:v>Regression</x:v>
      </x:c>
      <x:c r="E18" s="22" t="str">
        <x:v>Search for nonexistent opportunity</x:v>
      </x:c>
      <x:c r="F18" s="22" t="str">
        <x:v>Displays No opportunities found with a Clear filters option</x:v>
      </x:c>
      <x:c r="G18" s="22" t="str">
        <x:v>Mocked API</x:v>
      </x:c>
      <x:c r="H18" s="30" t="str">
        <x:v>Approved</x:v>
      </x:c>
      <x:c r="I18" s="32" t="str">
        <x:v>Not Executed</x:v>
      </x:c>
      <x:c r="J18" s="22" t="str"/>
    </x:row>
    <x:row r="19" ht="35" customHeight="1">
      <x:c r="A19" s="28" t="str">
        <x:v>BRW-006</x:v>
      </x:c>
      <x:c r="B19" s="22" t="str">
        <x:v>Browse Opportunities</x:v>
      </x:c>
      <x:c r="C19" s="22" t="str">
        <x:v>/opportunities</x:v>
      </x:c>
      <x:c r="D19" s="22" t="str">
        <x:v>Sanity</x:v>
      </x:c>
      <x:c r="E19" s="22" t="str">
        <x:v>Filter opportunities by category</x:v>
      </x:c>
      <x:c r="F19" s="22" t="str">
        <x:v>Only opportunities belonging to selected category appear</x:v>
      </x:c>
      <x:c r="G19" s="22" t="str">
        <x:v>Mocked API</x:v>
      </x:c>
      <x:c r="H19" s="30" t="str">
        <x:v>Approved</x:v>
      </x:c>
      <x:c r="I19" s="32" t="str">
        <x:v>Not Executed</x:v>
      </x:c>
      <x:c r="J19" s="22" t="str"/>
    </x:row>
    <x:row r="20" ht="35" customHeight="1">
      <x:c r="A20" s="28" t="str">
        <x:v>BRW-007</x:v>
      </x:c>
      <x:c r="B20" s="22" t="str">
        <x:v>Browse Opportunities</x:v>
      </x:c>
      <x:c r="C20" s="22" t="str">
        <x:v>/opportunities</x:v>
      </x:c>
      <x:c r="D20" s="22" t="str">
        <x:v>Regression</x:v>
      </x:c>
      <x:c r="E20" s="22" t="str">
        <x:v>Filter opportunities by work mode</x:v>
      </x:c>
      <x:c r="F20" s="22" t="str">
        <x:v>Selecting Remote, On-site or Hybrid displays matching records</x:v>
      </x:c>
      <x:c r="G20" s="22" t="str">
        <x:v>Mocked API</x:v>
      </x:c>
      <x:c r="H20" s="30" t="str">
        <x:v>Approved</x:v>
      </x:c>
      <x:c r="I20" s="32" t="str">
        <x:v>Not Executed</x:v>
      </x:c>
      <x:c r="J20" s="22" t="str"/>
    </x:row>
    <x:row r="21" ht="35" customHeight="1">
      <x:c r="A21" s="28" t="str">
        <x:v>BRW-008</x:v>
      </x:c>
      <x:c r="B21" s="22" t="str">
        <x:v>Browse Opportunities</x:v>
      </x:c>
      <x:c r="C21" s="22" t="str">
        <x:v>/opportunities</x:v>
      </x:c>
      <x:c r="D21" s="22" t="str">
        <x:v>Regression</x:v>
      </x:c>
      <x:c r="E21" s="22" t="str">
        <x:v>Filter by time commitment</x:v>
      </x:c>
      <x:c r="F21" s="22" t="str">
        <x:v>Under 5, 5–10, and more than 10 hours produce correct results</x:v>
      </x:c>
      <x:c r="G21" s="22" t="str">
        <x:v>Mocked API</x:v>
      </x:c>
      <x:c r="H21" s="30" t="str">
        <x:v>Approved</x:v>
      </x:c>
      <x:c r="I21" s="32" t="str">
        <x:v>Not Executed</x:v>
      </x:c>
      <x:c r="J21" s="22" t="str"/>
    </x:row>
    <x:row r="22" ht="35" customHeight="1">
      <x:c r="A22" s="28" t="str">
        <x:v>BRW-009</x:v>
      </x:c>
      <x:c r="B22" s="22" t="str">
        <x:v>Browse Opportunities</x:v>
      </x:c>
      <x:c r="C22" s="22" t="str">
        <x:v>/opportunities</x:v>
      </x:c>
      <x:c r="D22" s="22" t="str">
        <x:v>Regression</x:v>
      </x:c>
      <x:c r="E22" s="22" t="str">
        <x:v>Filter by skills</x:v>
      </x:c>
      <x:c r="F22" s="22" t="str">
        <x:v>Only opportunities containing selected skill appear</x:v>
      </x:c>
      <x:c r="G22" s="22" t="str">
        <x:v>Mocked API</x:v>
      </x:c>
      <x:c r="H22" s="30" t="str">
        <x:v>Approved</x:v>
      </x:c>
      <x:c r="I22" s="32" t="str">
        <x:v>Not Executed</x:v>
      </x:c>
      <x:c r="J22" s="22" t="str"/>
    </x:row>
    <x:row r="23" ht="35" customHeight="1">
      <x:c r="A23" s="28" t="str">
        <x:v>BRW-010</x:v>
      </x:c>
      <x:c r="B23" s="22" t="str">
        <x:v>Browse Opportunities</x:v>
      </x:c>
      <x:c r="C23" s="22" t="str">
        <x:v>/opportunities</x:v>
      </x:c>
      <x:c r="D23" s="22" t="str">
        <x:v>Regression</x:v>
      </x:c>
      <x:c r="E23" s="22" t="str">
        <x:v>Apply multiple filters together</x:v>
      </x:c>
      <x:c r="F23" s="22" t="str">
        <x:v>Results satisfy selected filter groups; result count updates</x:v>
      </x:c>
      <x:c r="G23" s="22" t="str">
        <x:v>Mocked API</x:v>
      </x:c>
      <x:c r="H23" s="30" t="str">
        <x:v>Approved</x:v>
      </x:c>
      <x:c r="I23" s="32" t="str">
        <x:v>Not Executed</x:v>
      </x:c>
      <x:c r="J23" s="22" t="str"/>
    </x:row>
    <x:row r="24" ht="35" customHeight="1">
      <x:c r="A24" s="28" t="str">
        <x:v>BRW-011</x:v>
      </x:c>
      <x:c r="B24" s="22" t="str">
        <x:v>Browse Opportunities</x:v>
      </x:c>
      <x:c r="C24" s="22" t="str">
        <x:v>/opportunities</x:v>
      </x:c>
      <x:c r="D24" s="22" t="str">
        <x:v>Sanity</x:v>
      </x:c>
      <x:c r="E24" s="22" t="str">
        <x:v>Clear all applied search terms and filters</x:v>
      </x:c>
      <x:c r="F24" s="22" t="str">
        <x:v>Search and filter selections reset; complete loaded list returns</x:v>
      </x:c>
      <x:c r="G24" s="22" t="str">
        <x:v>Mocked API</x:v>
      </x:c>
      <x:c r="H24" s="30" t="str">
        <x:v>Approved</x:v>
      </x:c>
      <x:c r="I24" s="32" t="str">
        <x:v>Not Executed</x:v>
      </x:c>
      <x:c r="J24" s="22" t="str"/>
    </x:row>
    <x:row r="25" ht="35" customHeight="1">
      <x:c r="A25" s="28" t="str">
        <x:v>BRW-012</x:v>
      </x:c>
      <x:c r="B25" s="22" t="str">
        <x:v>Browse Opportunities</x:v>
      </x:c>
      <x:c r="C25" s="22" t="str">
        <x:v>/opportunities</x:v>
      </x:c>
      <x:c r="D25" s="22" t="str">
        <x:v>Regression</x:v>
      </x:c>
      <x:c r="E25" s="22" t="str">
        <x:v>Sort by Upcoming deadline</x:v>
      </x:c>
      <x:c r="F25" s="22" t="str">
        <x:v>Earliest application deadlines appear first</x:v>
      </x:c>
      <x:c r="G25" s="22" t="str">
        <x:v>Mocked API</x:v>
      </x:c>
      <x:c r="H25" s="30" t="str">
        <x:v>Approved</x:v>
      </x:c>
      <x:c r="I25" s="32" t="str">
        <x:v>Not Executed</x:v>
      </x:c>
      <x:c r="J25" s="22" t="str"/>
    </x:row>
    <x:row r="26" ht="35" customHeight="1">
      <x:c r="A26" s="28" t="str">
        <x:v>BRW-013</x:v>
      </x:c>
      <x:c r="B26" s="22" t="str">
        <x:v>Browse Opportunities</x:v>
      </x:c>
      <x:c r="C26" s="22" t="str">
        <x:v>/opportunities</x:v>
      </x:c>
      <x:c r="D26" s="22" t="str">
        <x:v>Regression</x:v>
      </x:c>
      <x:c r="E26" s="22" t="str">
        <x:v>Sort by Latest deadline</x:v>
      </x:c>
      <x:c r="F26" s="22" t="str">
        <x:v>Latest application deadlines appear first</x:v>
      </x:c>
      <x:c r="G26" s="22" t="str">
        <x:v>Mocked API</x:v>
      </x:c>
      <x:c r="H26" s="30" t="str">
        <x:v>Approved</x:v>
      </x:c>
      <x:c r="I26" s="32" t="str">
        <x:v>Not Executed</x:v>
      </x:c>
      <x:c r="J26" s="22" t="str">
        <x:v>This is deadline-descending, not latest creation date.</x:v>
      </x:c>
    </x:row>
    <x:row r="27" ht="35" customHeight="1">
      <x:c r="A27" s="28" t="str">
        <x:v>BRW-014</x:v>
      </x:c>
      <x:c r="B27" s="22" t="str">
        <x:v>Browse Opportunities</x:v>
      </x:c>
      <x:c r="C27" s="22" t="str">
        <x:v>/opportunities</x:v>
      </x:c>
      <x:c r="D27" s="22" t="str">
        <x:v>Regression</x:v>
      </x:c>
      <x:c r="E27" s="22" t="str">
        <x:v>Sort by Title A–Z</x:v>
      </x:c>
      <x:c r="F27" s="22" t="str">
        <x:v>Opportunity titles appear alphabetically</x:v>
      </x:c>
      <x:c r="G27" s="22" t="str">
        <x:v>Mocked API</x:v>
      </x:c>
      <x:c r="H27" s="30" t="str">
        <x:v>Approved</x:v>
      </x:c>
      <x:c r="I27" s="32" t="str">
        <x:v>Not Executed</x:v>
      </x:c>
      <x:c r="J27" s="22" t="str"/>
    </x:row>
    <x:row r="28" ht="35" customHeight="1">
      <x:c r="A28" s="28" t="str">
        <x:v>BRW-015</x:v>
      </x:c>
      <x:c r="B28" s="22" t="str">
        <x:v>Browse Opportunities</x:v>
      </x:c>
      <x:c r="C28" s="22" t="str">
        <x:v>/opportunities</x:v>
      </x:c>
      <x:c r="D28" s="22" t="str">
        <x:v>Smoke</x:v>
      </x:c>
      <x:c r="E28" s="22" t="str">
        <x:v>Click View Details on an opportunity</x:v>
      </x:c>
      <x:c r="F28" s="22" t="str">
        <x:v>Modal opens with correct title, organization, description, location, mode, hours, deadline and skills</x:v>
      </x:c>
      <x:c r="G28" s="22" t="str">
        <x:v>Mocked API</x:v>
      </x:c>
      <x:c r="H28" s="30" t="str">
        <x:v>Approved</x:v>
      </x:c>
      <x:c r="I28" s="32" t="str">
        <x:v>Not Executed</x:v>
      </x:c>
      <x:c r="J28" s="22" t="str"/>
    </x:row>
    <x:row r="29" ht="35" customHeight="1">
      <x:c r="A29" s="28" t="str">
        <x:v>BRW-016</x:v>
      </x:c>
      <x:c r="B29" s="22" t="str">
        <x:v>Browse Opportunities</x:v>
      </x:c>
      <x:c r="C29" s="22" t="str">
        <x:v>/opportunities</x:v>
      </x:c>
      <x:c r="D29" s="22" t="str">
        <x:v>Sanity</x:v>
      </x:c>
      <x:c r="E29" s="22" t="str">
        <x:v>Close opportunity details modal</x:v>
      </x:c>
      <x:c r="F29" s="22" t="str">
        <x:v>Both Close Details button and close icon dismiss modal without navigating away</x:v>
      </x:c>
      <x:c r="G29" s="22" t="str">
        <x:v>Mocked API</x:v>
      </x:c>
      <x:c r="H29" s="30" t="str">
        <x:v>Approved</x:v>
      </x:c>
      <x:c r="I29" s="32" t="str">
        <x:v>Not Executed</x:v>
      </x:c>
      <x:c r="J29" s="22" t="str"/>
    </x:row>
    <x:row r="30" ht="35" customHeight="1">
      <x:c r="A30" s="28" t="str">
        <x:v>BRW-017</x:v>
      </x:c>
      <x:c r="B30" s="22" t="str">
        <x:v>Browse Opportunities</x:v>
      </x:c>
      <x:c r="C30" s="22" t="str">
        <x:v>/opportunities</x:v>
      </x:c>
      <x:c r="D30" s="22" t="str">
        <x:v>Regression</x:v>
      </x:c>
      <x:c r="E30" s="22" t="str">
        <x:v>Hide and show filter sidebar</x:v>
      </x:c>
      <x:c r="F30" s="22" t="str">
        <x:v>Sidebar visibility changes while existing filters and results are preserved</x:v>
      </x:c>
      <x:c r="G30" s="22" t="str">
        <x:v>Mocked API</x:v>
      </x:c>
      <x:c r="H30" s="30" t="str">
        <x:v>Approved</x:v>
      </x:c>
      <x:c r="I30" s="32" t="str">
        <x:v>Not Executed</x:v>
      </x:c>
      <x:c r="J30" s="22" t="str"/>
    </x:row>
    <x:row r="31" ht="35" customHeight="1">
      <x:c r="A31" s="28" t="str">
        <x:v>BRW-018</x:v>
      </x:c>
      <x:c r="B31" s="22" t="str">
        <x:v>Browse Opportunities</x:v>
      </x:c>
      <x:c r="C31" s="22" t="str">
        <x:v>/opportunities</x:v>
      </x:c>
      <x:c r="D31" s="22" t="str">
        <x:v>Regression</x:v>
      </x:c>
      <x:c r="E31" s="22" t="str">
        <x:v>Backend fails to load opportunities</x:v>
      </x:c>
      <x:c r="F31" s="22" t="str">
        <x:v>Error message and Try again button appear; retry recovers when API becomes available</x:v>
      </x:c>
      <x:c r="G31" s="22" t="str">
        <x:v>Mocked API</x:v>
      </x:c>
      <x:c r="H31" s="30" t="str">
        <x:v>Approved</x:v>
      </x:c>
      <x:c r="I31" s="32" t="str">
        <x:v>Not Executed</x:v>
      </x:c>
      <x:c r="J31" s="22" t="str">
        <x:v>Intercept first request as error, then fulfill retry successfully; no outage injection.</x:v>
      </x:c>
    </x:row>
    <x:row r="32" ht="35" customHeight="1">
      <x:c r="A32" s="28" t="str">
        <x:v>DASH-001</x:v>
      </x:c>
      <x:c r="B32" s="22" t="str">
        <x:v>Creator Dashboard</x:v>
      </x:c>
      <x:c r="C32" s="22" t="str">
        <x:v>/creator/dashboard</x:v>
      </x:c>
      <x:c r="D32" s="22" t="str">
        <x:v>Smoke</x:v>
      </x:c>
      <x:c r="E32" s="22" t="str">
        <x:v>Open Creator Dashboard</x:v>
      </x:c>
      <x:c r="F32" s="22" t="str">
        <x:v>Dashboard loads at /creator/dashboard with welcome heading and key sections visible</x:v>
      </x:c>
      <x:c r="G32" s="22" t="str">
        <x:v>Static UI</x:v>
      </x:c>
      <x:c r="H32" s="30" t="str">
        <x:v>Approved</x:v>
      </x:c>
      <x:c r="I32" s="32" t="str">
        <x:v>Not Executed</x:v>
      </x:c>
      <x:c r="J32" s="22" t="str"/>
    </x:row>
    <x:row r="33" ht="35" customHeight="1">
      <x:c r="A33" s="28" t="str">
        <x:v>DASH-002</x:v>
      </x:c>
      <x:c r="B33" s="22" t="str">
        <x:v>Creator Dashboard</x:v>
      </x:c>
      <x:c r="C33" s="22" t="str">
        <x:v>/creator/dashboard</x:v>
      </x:c>
      <x:c r="D33" s="22" t="str">
        <x:v>Smoke</x:v>
      </x:c>
      <x:c r="E33" s="22" t="str">
        <x:v>Verify four dashboard summary cards</x:v>
      </x:c>
      <x:c r="F33" s="22" t="str">
        <x:v>Total Opportunities, Total Applications, In Progress, and Completed appear with configured values</x:v>
      </x:c>
      <x:c r="G33" s="22" t="str">
        <x:v>Static UI</x:v>
      </x:c>
      <x:c r="H33" s="30" t="str">
        <x:v>Approved</x:v>
      </x:c>
      <x:c r="I33" s="32" t="str">
        <x:v>Not Executed</x:v>
      </x:c>
      <x:c r="J33" s="22" t="str">
        <x:v>Validate sample data, not live MySQL statistics.</x:v>
      </x:c>
    </x:row>
    <x:row r="34" ht="35" customHeight="1">
      <x:c r="A34" s="28" t="str">
        <x:v>DASH-003</x:v>
      </x:c>
      <x:c r="B34" s="22" t="str">
        <x:v>Creator Dashboard</x:v>
      </x:c>
      <x:c r="C34" s="22" t="str">
        <x:v>/creator/dashboard</x:v>
      </x:c>
      <x:c r="D34" s="22" t="str">
        <x:v>Sanity</x:v>
      </x:c>
      <x:c r="E34" s="22" t="str">
        <x:v>Click Create Opportunity</x:v>
      </x:c>
      <x:c r="F34" s="22" t="str">
        <x:v>Navigates to /creator/opportunities/create</x:v>
      </x:c>
      <x:c r="G34" s="22" t="str">
        <x:v>Navigation</x:v>
      </x:c>
      <x:c r="H34" s="30" t="str">
        <x:v>Approved</x:v>
      </x:c>
      <x:c r="I34" s="32" t="str">
        <x:v>Not Executed</x:v>
      </x:c>
      <x:c r="J34" s="22" t="str"/>
    </x:row>
    <x:row r="35" ht="35" customHeight="1">
      <x:c r="A35" s="28" t="str">
        <x:v>DASH-004</x:v>
      </x:c>
      <x:c r="B35" s="22" t="str">
        <x:v>Creator Dashboard</x:v>
      </x:c>
      <x:c r="C35" s="22" t="str">
        <x:v>/creator/dashboard</x:v>
      </x:c>
      <x:c r="D35" s="22" t="str">
        <x:v>Sanity</x:v>
      </x:c>
      <x:c r="E35" s="22" t="str">
        <x:v>Verify Recent Applications table</x:v>
      </x:c>
      <x:c r="F35" s="22" t="str">
        <x:v>Shows up to 4 recent applications with applicant name, opportunity, status, date and View action</x:v>
      </x:c>
      <x:c r="G35" s="22" t="str">
        <x:v>Static UI</x:v>
      </x:c>
      <x:c r="H35" s="30" t="str">
        <x:v>Approved</x:v>
      </x:c>
      <x:c r="I35" s="32" t="str">
        <x:v>Not Executed</x:v>
      </x:c>
      <x:c r="J35" s="22" t="str">
        <x:v>Sample data; View destination may be a placeholder.</x:v>
      </x:c>
    </x:row>
    <x:row r="36" ht="35" customHeight="1">
      <x:c r="A36" s="28" t="str">
        <x:v>DASH-005</x:v>
      </x:c>
      <x:c r="B36" s="22" t="str">
        <x:v>Creator Dashboard</x:v>
      </x:c>
      <x:c r="C36" s="22" t="str">
        <x:v>/creator/dashboard</x:v>
      </x:c>
      <x:c r="D36" s="22" t="str">
        <x:v>Regression</x:v>
      </x:c>
      <x:c r="E36" s="22" t="str">
        <x:v>Verify application status badges</x:v>
      </x:c>
      <x:c r="F36" s="22" t="str">
        <x:v>Under Review, Selected, and Rejected statuses display correctly for sample records</x:v>
      </x:c>
      <x:c r="G36" s="22" t="str">
        <x:v>Static UI</x:v>
      </x:c>
      <x:c r="H36" s="30" t="str">
        <x:v>Approved</x:v>
      </x:c>
      <x:c r="I36" s="32" t="str">
        <x:v>Not Executed</x:v>
      </x:c>
      <x:c r="J36" s="22" t="str"/>
    </x:row>
    <x:row r="37" ht="35" customHeight="1">
      <x:c r="A37" s="28" t="str">
        <x:v>DASH-006</x:v>
      </x:c>
      <x:c r="B37" s="22" t="str">
        <x:v>Creator Dashboard</x:v>
      </x:c>
      <x:c r="C37" s="22" t="str">
        <x:v>/creator/dashboard</x:v>
      </x:c>
      <x:c r="D37" s="22" t="str">
        <x:v>Sanity</x:v>
      </x:c>
      <x:c r="E37" s="22" t="str">
        <x:v>Verify My Opportunities preview</x:v>
      </x:c>
      <x:c r="F37" s="22" t="str">
        <x:v>Shows first 3 opportunity cards with correct titles, statuses, and application counts</x:v>
      </x:c>
      <x:c r="G37" s="22" t="str">
        <x:v>Static UI</x:v>
      </x:c>
      <x:c r="H37" s="30" t="str">
        <x:v>Approved</x:v>
      </x:c>
      <x:c r="I37" s="32" t="str">
        <x:v>Not Executed</x:v>
      </x:c>
      <x:c r="J37" s="22" t="str"/>
    </x:row>
    <x:row r="38" ht="35" customHeight="1">
      <x:c r="A38" s="28" t="str">
        <x:v>DASH-007</x:v>
      </x:c>
      <x:c r="B38" s="22" t="str">
        <x:v>Creator Dashboard</x:v>
      </x:c>
      <x:c r="C38" s="22" t="str">
        <x:v>/creator/dashboard</x:v>
      </x:c>
      <x:c r="D38" s="22" t="str">
        <x:v>Sanity</x:v>
      </x:c>
      <x:c r="E38" s="22" t="str">
        <x:v>Click View All under My Opportunities</x:v>
      </x:c>
      <x:c r="F38" s="22" t="str">
        <x:v>Navigates to /creator/opportunities</x:v>
      </x:c>
      <x:c r="G38" s="22" t="str">
        <x:v>Navigation</x:v>
      </x:c>
      <x:c r="H38" s="30" t="str">
        <x:v>Approved</x:v>
      </x:c>
      <x:c r="I38" s="32" t="str">
        <x:v>Not Executed</x:v>
      </x:c>
      <x:c r="J38" s="22" t="str"/>
    </x:row>
    <x:row r="39" ht="35" customHeight="1">
      <x:c r="A39" s="28" t="str">
        <x:v>DASH-008</x:v>
      </x:c>
      <x:c r="B39" s="22" t="str">
        <x:v>Creator Dashboard</x:v>
      </x:c>
      <x:c r="C39" s="22" t="str">
        <x:v>/creator/dashboard</x:v>
      </x:c>
      <x:c r="D39" s="22" t="str">
        <x:v>Regression</x:v>
      </x:c>
      <x:c r="E39" s="22" t="str">
        <x:v>Click an opportunity preview card</x:v>
      </x:c>
      <x:c r="F39" s="22" t="str">
        <x:v>Navigates to /creator/opportunities without an application crash</x:v>
      </x:c>
      <x:c r="G39" s="22" t="str">
        <x:v>Navigation</x:v>
      </x:c>
      <x:c r="H39" s="30" t="str">
        <x:v>Approved</x:v>
      </x:c>
      <x:c r="I39" s="32" t="str">
        <x:v>Not Executed</x:v>
      </x:c>
      <x:c r="J39" s="22" t="str"/>
    </x:row>
    <x:row r="40" ht="35" customHeight="1">
      <x:c r="A40" s="28" t="str">
        <x:v>DASH-009</x:v>
      </x:c>
      <x:c r="B40" s="22" t="str">
        <x:v>Creator Dashboard</x:v>
      </x:c>
      <x:c r="C40" s="22" t="str">
        <x:v>/creator/dashboard</x:v>
      </x:c>
      <x:c r="D40" s="22" t="str">
        <x:v>Regression</x:v>
      </x:c>
      <x:c r="E40" s="22" t="str">
        <x:v>Verify Creator sidebar navigation</x:v>
      </x:c>
      <x:c r="F40" s="22" t="str">
        <x:v>Dashboard and My Opportunities links navigate correctly; active item highlighted</x:v>
      </x:c>
      <x:c r="G40" s="22" t="str">
        <x:v>Navigation</x:v>
      </x:c>
      <x:c r="H40" s="30" t="str">
        <x:v>Approved</x:v>
      </x:c>
      <x:c r="I40" s="32" t="str">
        <x:v>Not Executed</x:v>
      </x:c>
      <x:c r="J40" s="22" t="str"/>
    </x:row>
    <x:row r="41" ht="35" customHeight="1">
      <x:c r="A41" s="28" t="str">
        <x:v>DASH-010</x:v>
      </x:c>
      <x:c r="B41" s="22" t="str">
        <x:v>Creator Dashboard</x:v>
      </x:c>
      <x:c r="C41" s="22" t="str">
        <x:v>/creator/dashboard</x:v>
      </x:c>
      <x:c r="D41" s="22" t="str">
        <x:v>Regression</x:v>
      </x:c>
      <x:c r="E41" s="22" t="str">
        <x:v>Open and close dashboard notification popover</x:v>
      </x:c>
      <x:c r="F41" s="22" t="str">
        <x:v>Shows pending-application count; opens on click; closes on Escape or outside click</x:v>
      </x:c>
      <x:c r="G41" s="22" t="str">
        <x:v>Static UI</x:v>
      </x:c>
      <x:c r="H41" s="30" t="str">
        <x:v>Approved</x:v>
      </x:c>
      <x:c r="I41" s="32" t="str">
        <x:v>Not Executed</x:v>
      </x:c>
      <x:c r="J41" s="22" t="str"/>
    </x:row>
    <x:row r="42" ht="35" customHeight="1">
      <x:c r="A42" s="28" t="str">
        <x:v>MYOP-001</x:v>
      </x:c>
      <x:c r="B42" s="22" t="str">
        <x:v>My Opportunities</x:v>
      </x:c>
      <x:c r="C42" s="22" t="str">
        <x:v>/creator/opportunities</x:v>
      </x:c>
      <x:c r="D42" s="22" t="str">
        <x:v>Smoke</x:v>
      </x:c>
      <x:c r="E42" s="22" t="str">
        <x:v>Open My Opportunities with valid Creator token</x:v>
      </x:c>
      <x:c r="F42" s="22" t="str">
        <x:v>Page loads, sends authenticated API request, displays heading and toolbar</x:v>
      </x:c>
      <x:c r="G42" s="22" t="str">
        <x:v>Mocked API / Auth</x:v>
      </x:c>
      <x:c r="H42" s="30" t="str">
        <x:v>Approved</x:v>
      </x:c>
      <x:c r="I42" s="32" t="str">
        <x:v>Not Executed</x:v>
      </x:c>
      <x:c r="J42" s="22" t="str">
        <x:v>Mock JWT in localStorage; assert Authorization header.</x:v>
      </x:c>
    </x:row>
    <x:row r="43" ht="35" customHeight="1">
      <x:c r="A43" s="28" t="str">
        <x:v>MYOP-002</x:v>
      </x:c>
      <x:c r="B43" s="22" t="str">
        <x:v>My Opportunities</x:v>
      </x:c>
      <x:c r="C43" s="22" t="str">
        <x:v>/creator/opportunities</x:v>
      </x:c>
      <x:c r="D43" s="22" t="str">
        <x:v>Smoke</x:v>
      </x:c>
      <x:c r="E43" s="22" t="str">
        <x:v>Verify opportunities displayed from API response</x:v>
      </x:c>
      <x:c r="F43" s="22" t="str">
        <x:v>Cards show title, category, status, description, location, hours, deadline and compensation</x:v>
      </x:c>
      <x:c r="G43" s="22" t="str">
        <x:v>Mocked API</x:v>
      </x:c>
      <x:c r="H43" s="30" t="str">
        <x:v>Approved</x:v>
      </x:c>
      <x:c r="I43" s="32" t="str">
        <x:v>Not Executed</x:v>
      </x:c>
      <x:c r="J43" s="22" t="str"/>
    </x:row>
    <x:row r="44" ht="35" customHeight="1">
      <x:c r="A44" s="28" t="str">
        <x:v>MYOP-003</x:v>
      </x:c>
      <x:c r="B44" s="22" t="str">
        <x:v>My Opportunities</x:v>
      </x:c>
      <x:c r="C44" s="22" t="str">
        <x:v>/creator/opportunities</x:v>
      </x:c>
      <x:c r="D44" s="22" t="str">
        <x:v>Sanity</x:v>
      </x:c>
      <x:c r="E44" s="22" t="str">
        <x:v>Search for opportunity by title or description</x:v>
      </x:c>
      <x:c r="F44" s="22" t="str">
        <x:v>Only matching cards appear; result count updates</x:v>
      </x:c>
      <x:c r="G44" s="22" t="str">
        <x:v>Mocked API</x:v>
      </x:c>
      <x:c r="H44" s="30" t="str">
        <x:v>Approved</x:v>
      </x:c>
      <x:c r="I44" s="32" t="str">
        <x:v>Not Executed</x:v>
      </x:c>
      <x:c r="J44" s="22" t="str"/>
    </x:row>
    <x:row r="45" ht="35" customHeight="1">
      <x:c r="A45" s="28" t="str">
        <x:v>MYOP-004</x:v>
      </x:c>
      <x:c r="B45" s="22" t="str">
        <x:v>My Opportunities</x:v>
      </x:c>
      <x:c r="C45" s="22" t="str">
        <x:v>/creator/opportunities</x:v>
      </x:c>
      <x:c r="D45" s="22" t="str">
        <x:v>Sanity</x:v>
      </x:c>
      <x:c r="E45" s="22" t="str">
        <x:v>Filter by status and combine with search</x:v>
      </x:c>
      <x:c r="F45" s="22" t="str">
        <x:v>Only opportunities satisfying selected status and search term appear</x:v>
      </x:c>
      <x:c r="G45" s="22" t="str">
        <x:v>Mocked API</x:v>
      </x:c>
      <x:c r="H45" s="30" t="str">
        <x:v>Approved</x:v>
      </x:c>
      <x:c r="I45" s="32" t="str">
        <x:v>Not Executed</x:v>
      </x:c>
      <x:c r="J45" s="22" t="str">
        <x:v>Use statuses returned by current backend.</x:v>
      </x:c>
    </x:row>
    <x:row r="46" ht="35" customHeight="1">
      <x:c r="A46" s="28" t="str">
        <x:v>MYOP-005</x:v>
      </x:c>
      <x:c r="B46" s="22" t="str">
        <x:v>My Opportunities</x:v>
      </x:c>
      <x:c r="C46" s="22" t="str">
        <x:v>/creator/opportunities</x:v>
      </x:c>
      <x:c r="D46" s="22" t="str">
        <x:v>Regression</x:v>
      </x:c>
      <x:c r="E46" s="22" t="str">
        <x:v>Click Refresh after opportunity data changes</x:v>
      </x:c>
      <x:c r="F46" s="22" t="str">
        <x:v>New API request is sent and displayed opportunities update</x:v>
      </x:c>
      <x:c r="G46" s="22" t="str">
        <x:v>Mocked API</x:v>
      </x:c>
      <x:c r="H46" s="30" t="str">
        <x:v>Approved</x:v>
      </x:c>
      <x:c r="I46" s="32" t="str">
        <x:v>Not Executed</x:v>
      </x:c>
      <x:c r="J46" s="22" t="str">
        <x:v>First intercept response differs from second.</x:v>
      </x:c>
    </x:row>
    <x:row r="47" ht="35" customHeight="1">
      <x:c r="A47" s="28" t="str">
        <x:v>MYOP-006</x:v>
      </x:c>
      <x:c r="B47" s="22" t="str">
        <x:v>My Opportunities</x:v>
      </x:c>
      <x:c r="C47" s="22" t="str">
        <x:v>/creator/opportunities</x:v>
      </x:c>
      <x:c r="D47" s="22" t="str">
        <x:v>Regression</x:v>
      </x:c>
      <x:c r="E47" s="22" t="str">
        <x:v>Search or filter returns no matching opportunities</x:v>
      </x:c>
      <x:c r="F47" s="22" t="str">
        <x:v>Displays No matching opportunities with explanatory message</x:v>
      </x:c>
      <x:c r="G47" s="22" t="str">
        <x:v>Mocked API</x:v>
      </x:c>
      <x:c r="H47" s="30" t="str">
        <x:v>Approved</x:v>
      </x:c>
      <x:c r="I47" s="32" t="str">
        <x:v>Not Executed</x:v>
      </x:c>
      <x:c r="J47" s="22" t="str"/>
    </x:row>
    <x:row r="48" ht="35" customHeight="1">
      <x:c r="A48" s="28" t="str">
        <x:v>MYOP-007</x:v>
      </x:c>
      <x:c r="B48" s="22" t="str">
        <x:v>My Opportunities</x:v>
      </x:c>
      <x:c r="C48" s="22" t="str">
        <x:v>/creator/opportunities</x:v>
      </x:c>
      <x:c r="D48" s="22" t="str">
        <x:v>Regression</x:v>
      </x:c>
      <x:c r="E48" s="22" t="str">
        <x:v>Creator has no existing opportunities</x:v>
      </x:c>
      <x:c r="F48" s="22" t="str">
        <x:v>Displays No opportunities yet and Create your first opportunity button</x:v>
      </x:c>
      <x:c r="G48" s="22" t="str">
        <x:v>Mocked API</x:v>
      </x:c>
      <x:c r="H48" s="30" t="str">
        <x:v>Approved</x:v>
      </x:c>
      <x:c r="I48" s="32" t="str">
        <x:v>Not Executed</x:v>
      </x:c>
      <x:c r="J48" s="22" t="str"/>
    </x:row>
    <x:row r="49" ht="35" customHeight="1">
      <x:c r="A49" s="28" t="str">
        <x:v>MYOP-008</x:v>
      </x:c>
      <x:c r="B49" s="22" t="str">
        <x:v>My Opportunities</x:v>
      </x:c>
      <x:c r="C49" s="22" t="str">
        <x:v>/creator/opportunities</x:v>
      </x:c>
      <x:c r="D49" s="22" t="str">
        <x:v>Regression</x:v>
      </x:c>
      <x:c r="E49" s="22" t="str">
        <x:v>Open page without authentication token</x:v>
      </x:c>
      <x:c r="F49" s="22" t="str">
        <x:v>Displays Unable to load opportunities and sign-in requirement; does not fetch protected data</x:v>
      </x:c>
      <x:c r="G49" s="22" t="str">
        <x:v>Mocked API / Auth</x:v>
      </x:c>
      <x:c r="H49" s="30" t="str">
        <x:v>Approved</x:v>
      </x:c>
      <x:c r="I49" s="32" t="str">
        <x:v>Not Executed</x:v>
      </x:c>
      <x:c r="J49" s="22" t="str">
        <x:v>Current React route is not protected; test expected UI error, not assumed redirect.</x:v>
      </x:c>
    </x:row>
    <x:row r="50" ht="35" customHeight="1">
      <x:c r="A50" s="28" t="str">
        <x:v>MYOP-009</x:v>
      </x:c>
      <x:c r="B50" s="22" t="str">
        <x:v>My Opportunities</x:v>
      </x:c>
      <x:c r="C50" s="22" t="str">
        <x:v>/creator/opportunities</x:v>
      </x:c>
      <x:c r="D50" s="22" t="str">
        <x:v>Regression</x:v>
      </x:c>
      <x:c r="E50" s="22" t="str">
        <x:v>API returns error; user clicks Try again</x:v>
      </x:c>
      <x:c r="F50" s="22" t="str">
        <x:v>Error appears; retry sends request and restores cards when successful</x:v>
      </x:c>
      <x:c r="G50" s="22" t="str">
        <x:v>Mocked API</x:v>
      </x:c>
      <x:c r="H50" s="30" t="str">
        <x:v>Approved</x:v>
      </x:c>
      <x:c r="I50" s="32" t="str">
        <x:v>Not Executed</x:v>
      </x:c>
      <x:c r="J50" s="22" t="str"/>
    </x:row>
    <x:row r="51" ht="35" customHeight="1">
      <x:c r="A51" s="28" t="str">
        <x:v>MYOP-010</x:v>
      </x:c>
      <x:c r="B51" s="22" t="str">
        <x:v>My Opportunities</x:v>
      </x:c>
      <x:c r="C51" s="22" t="str">
        <x:v>/creator/opportunities</x:v>
      </x:c>
      <x:c r="D51" s="22" t="str">
        <x:v>Regression</x:v>
      </x:c>
      <x:c r="E51" s="22" t="str">
        <x:v>Navigate using Create Opportunity and View buttons</x:v>
      </x:c>
      <x:c r="F51" s="22" t="str">
        <x:v>Create opens /creator/opportunities/create; View opens selected opportunity details</x:v>
      </x:c>
      <x:c r="G51" s="22" t="str">
        <x:v>Navigation</x:v>
      </x:c>
      <x:c r="H51" s="30" t="str">
        <x:v>Approved</x:v>
      </x:c>
      <x:c r="I51" s="32" t="str">
        <x:v>Not Executed</x:v>
      </x:c>
      <x:c r="J51" s="22" t="str">
        <x:v>Known gap: opportunity detail route is absent; View assertion likely fails until implemented.</x:v>
      </x:c>
    </x:row>
    <x:row r="52" ht="35" customHeight="1">
      <x:c r="A52" s="28" t="str">
        <x:v>CRT-001</x:v>
      </x:c>
      <x:c r="B52" s="22" t="str">
        <x:v>Create Opportunity</x:v>
      </x:c>
      <x:c r="C52" s="22" t="str">
        <x:v>/creator/opportunities/create</x:v>
      </x:c>
      <x:c r="D52" s="22" t="str">
        <x:v>Smoke</x:v>
      </x:c>
      <x:c r="E52" s="22" t="str">
        <x:v>Open Create Opportunity page</x:v>
      </x:c>
      <x:c r="F52" s="22" t="str">
        <x:v>All four form sections and Save Draft, Publish Opportunity, Cancel buttons visible</x:v>
      </x:c>
      <x:c r="G52" s="22" t="str">
        <x:v>Static UI</x:v>
      </x:c>
      <x:c r="H52" s="30" t="str">
        <x:v>Approved</x:v>
      </x:c>
      <x:c r="I52" s="32" t="str">
        <x:v>Not Executed</x:v>
      </x:c>
      <x:c r="J52" s="22" t="str"/>
    </x:row>
    <x:row r="53" ht="35" customHeight="1">
      <x:c r="A53" s="28" t="str">
        <x:v>CRT-002</x:v>
      </x:c>
      <x:c r="B53" s="22" t="str">
        <x:v>Create Opportunity</x:v>
      </x:c>
      <x:c r="C53" s="22" t="str">
        <x:v>/creator/opportunities/create</x:v>
      </x:c>
      <x:c r="D53" s="22" t="str">
        <x:v>Smoke</x:v>
      </x:c>
      <x:c r="E53" s="22" t="str">
        <x:v>Load categories</x:v>
      </x:c>
      <x:c r="F53" s="22" t="str">
        <x:v>Category dropdown displays categories received from backend</x:v>
      </x:c>
      <x:c r="G53" s="22" t="str">
        <x:v>Mocked API</x:v>
      </x:c>
      <x:c r="H53" s="30" t="str">
        <x:v>Approved</x:v>
      </x:c>
      <x:c r="I53" s="32" t="str">
        <x:v>Not Executed</x:v>
      </x:c>
      <x:c r="J53" s="22" t="str"/>
    </x:row>
    <x:row r="54" ht="35" customHeight="1">
      <x:c r="A54" s="28" t="str">
        <x:v>CRT-003</x:v>
      </x:c>
      <x:c r="B54" s="22" t="str">
        <x:v>Create Opportunity</x:v>
      </x:c>
      <x:c r="C54" s="22" t="str">
        <x:v>/creator/opportunities/create</x:v>
      </x:c>
      <x:c r="D54" s="22" t="str">
        <x:v>Sanity</x:v>
      </x:c>
      <x:c r="E54" s="22" t="str">
        <x:v>Leave mandatory fields empty</x:v>
      </x:c>
      <x:c r="F54" s="22" t="str">
        <x:v>Submission blocked; title, category and description required</x:v>
      </x:c>
      <x:c r="G54" s="22" t="str">
        <x:v>Form validation</x:v>
      </x:c>
      <x:c r="H54" s="30" t="str">
        <x:v>Approved</x:v>
      </x:c>
      <x:c r="I54" s="32" t="str">
        <x:v>Not Executed</x:v>
      </x:c>
      <x:c r="J54" s="22" t="str"/>
    </x:row>
    <x:row r="55" ht="35" customHeight="1">
      <x:c r="A55" s="28" t="str">
        <x:v>CRT-004</x:v>
      </x:c>
      <x:c r="B55" s="22" t="str">
        <x:v>Create Opportunity</x:v>
      </x:c>
      <x:c r="C55" s="22" t="str">
        <x:v>/creator/opportunities/create</x:v>
      </x:c>
      <x:c r="D55" s="22" t="str">
        <x:v>Sanity</x:v>
      </x:c>
      <x:c r="E55" s="22" t="str">
        <x:v>Enter valid opportunity information</x:v>
      </x:c>
      <x:c r="F55" s="22" t="str">
        <x:v>Inputs accept values and retain entered info before submission</x:v>
      </x:c>
      <x:c r="G55" s="22" t="str">
        <x:v>Form validation</x:v>
      </x:c>
      <x:c r="H55" s="30" t="str">
        <x:v>Approved</x:v>
      </x:c>
      <x:c r="I55" s="32" t="str">
        <x:v>Not Executed</x:v>
      </x:c>
      <x:c r="J55" s="22" t="str"/>
    </x:row>
    <x:row r="56" ht="35" customHeight="1">
      <x:c r="A56" s="28" t="str">
        <x:v>CRT-005</x:v>
      </x:c>
      <x:c r="B56" s="22" t="str">
        <x:v>Create Opportunity</x:v>
      </x:c>
      <x:c r="C56" s="22" t="str">
        <x:v>/creator/opportunities/create</x:v>
      </x:c>
      <x:c r="D56" s="22" t="str">
        <x:v>Regression</x:v>
      </x:c>
      <x:c r="E56" s="22" t="str">
        <x:v>Enter invalid date combinations</x:v>
      </x:c>
      <x:c r="F56" s="22" t="str">
        <x:v>End before start or deadline after start prevents submission with validation</x:v>
      </x:c>
      <x:c r="G56" s="22" t="str">
        <x:v>Form validation</x:v>
      </x:c>
      <x:c r="H56" s="30" t="str">
        <x:v>Approved</x:v>
      </x:c>
      <x:c r="I56" s="32" t="str">
        <x:v>Not Executed</x:v>
      </x:c>
      <x:c r="J56" s="22" t="str"/>
    </x:row>
    <x:row r="57" ht="35" customHeight="1">
      <x:c r="A57" s="28" t="str">
        <x:v>CRT-006</x:v>
      </x:c>
      <x:c r="B57" s="22" t="str">
        <x:v>Create Opportunity</x:v>
      </x:c>
      <x:c r="C57" s="22" t="str">
        <x:v>/creator/opportunities/create</x:v>
      </x:c>
      <x:c r="D57" s="22" t="str">
        <x:v>Regression</x:v>
      </x:c>
      <x:c r="E57" s="22" t="str">
        <x:v>Enter invalid expected hours or applicant limit</x:v>
      </x:c>
      <x:c r="F57" s="22" t="str">
        <x:v>Zero, negative and noninteger values rejected by numeric constraints</x:v>
      </x:c>
      <x:c r="G57" s="22" t="str">
        <x:v>Form validation</x:v>
      </x:c>
      <x:c r="H57" s="30" t="str">
        <x:v>Approved</x:v>
      </x:c>
      <x:c r="I57" s="32" t="str">
        <x:v>Not Executed</x:v>
      </x:c>
      <x:c r="J57" s="22" t="str"/>
    </x:row>
    <x:row r="58" ht="35" customHeight="1">
      <x:c r="A58" s="28" t="str">
        <x:v>CRT-007</x:v>
      </x:c>
      <x:c r="B58" s="22" t="str">
        <x:v>Create Opportunity</x:v>
      </x:c>
      <x:c r="C58" s="22" t="str">
        <x:v>/creator/opportunities/create</x:v>
      </x:c>
      <x:c r="D58" s="22" t="str">
        <x:v>Sanity</x:v>
      </x:c>
      <x:c r="E58" s="22" t="str">
        <x:v>Select Paid compensation</x:v>
      </x:c>
      <x:c r="F58" s="22" t="str">
        <x:v>Amount and currency fields appear; amount required and nonnegative</x:v>
      </x:c>
      <x:c r="G58" s="22" t="str">
        <x:v>Form validation</x:v>
      </x:c>
      <x:c r="H58" s="30" t="str">
        <x:v>Approved</x:v>
      </x:c>
      <x:c r="I58" s="32" t="str">
        <x:v>Not Executed</x:v>
      </x:c>
      <x:c r="J58" s="22" t="str"/>
    </x:row>
    <x:row r="59" ht="35" customHeight="1">
      <x:c r="A59" s="28" t="str">
        <x:v>CRT-008</x:v>
      </x:c>
      <x:c r="B59" s="22" t="str">
        <x:v>Create Opportunity</x:v>
      </x:c>
      <x:c r="C59" s="22" t="str">
        <x:v>/creator/opportunities/create</x:v>
      </x:c>
      <x:c r="D59" s="22" t="str">
        <x:v>Regression</x:v>
      </x:c>
      <x:c r="E59" s="22" t="str">
        <x:v>Switch from Paid to Unpaid</x:v>
      </x:c>
      <x:c r="F59" s="22" t="str">
        <x:v>Paid-only fields disappear; unpaid submission omits compensation amount</x:v>
      </x:c>
      <x:c r="G59" s="22" t="str">
        <x:v>Mocked API / Form</x:v>
      </x:c>
      <x:c r="H59" s="30" t="str">
        <x:v>Approved</x:v>
      </x:c>
      <x:c r="I59" s="32" t="str">
        <x:v>Not Executed</x:v>
      </x:c>
      <x:c r="J59" s="22" t="str"/>
    </x:row>
    <x:row r="60" ht="35" customHeight="1">
      <x:c r="A60" s="28" t="str">
        <x:v>CRT-009</x:v>
      </x:c>
      <x:c r="B60" s="22" t="str">
        <x:v>Create Opportunity</x:v>
      </x:c>
      <x:c r="C60" s="22" t="str">
        <x:v>/creator/opportunities/create</x:v>
      </x:c>
      <x:c r="D60" s="22" t="str">
        <x:v>Smoke</x:v>
      </x:c>
      <x:c r="E60" s="22" t="str">
        <x:v>Save valid opportunity as Draft</x:v>
      </x:c>
      <x:c r="F60" s="22" t="str">
        <x:v>Authenticated creation succeeds; no publish request; success message and navigation</x:v>
      </x:c>
      <x:c r="G60" s="22" t="str">
        <x:v>Mocked API / Auth</x:v>
      </x:c>
      <x:c r="H60" s="30" t="str">
        <x:v>Approved</x:v>
      </x:c>
      <x:c r="I60" s="32" t="str">
        <x:v>Not Executed</x:v>
      </x:c>
      <x:c r="J60" s="22" t="str">
        <x:v>Intercept POST create; assert no publish request.</x:v>
      </x:c>
    </x:row>
    <x:row r="61" ht="35" customHeight="1">
      <x:c r="A61" s="28" t="str">
        <x:v>CRT-010</x:v>
      </x:c>
      <x:c r="B61" s="22" t="str">
        <x:v>Create Opportunity</x:v>
      </x:c>
      <x:c r="C61" s="22" t="str">
        <x:v>/creator/opportunities/create</x:v>
      </x:c>
      <x:c r="D61" s="22" t="str">
        <x:v>Sanity</x:v>
      </x:c>
      <x:c r="E61" s="22" t="str">
        <x:v>Publish valid opportunity</x:v>
      </x:c>
      <x:c r="F61" s="22" t="str">
        <x:v>Create request followed by publish request for returned ID; success and navigation</x:v>
      </x:c>
      <x:c r="G61" s="22" t="str">
        <x:v>Mocked API / Auth</x:v>
      </x:c>
      <x:c r="H61" s="30" t="str">
        <x:v>Approved</x:v>
      </x:c>
      <x:c r="I61" s="32" t="str">
        <x:v>Not Executed</x:v>
      </x:c>
      <x:c r="J61" s="22" t="str"/>
    </x:row>
    <x:row r="62" ht="35" customHeight="1">
      <x:c r="A62" s="28" t="str">
        <x:v>CRT-011</x:v>
      </x:c>
      <x:c r="B62" s="22" t="str">
        <x:v>Create Opportunity</x:v>
      </x:c>
      <x:c r="C62" s="22" t="str">
        <x:v>/creator/opportunities/create</x:v>
      </x:c>
      <x:c r="D62" s="22" t="str">
        <x:v>Regression</x:v>
      </x:c>
      <x:c r="E62" s="22" t="str">
        <x:v>Submit without authentication token</x:v>
      </x:c>
      <x:c r="F62" s="22" t="str">
        <x:v>Sign-in requirement displayed; no creation request sent</x:v>
      </x:c>
      <x:c r="G62" s="22" t="str">
        <x:v>Mocked API / Auth</x:v>
      </x:c>
      <x:c r="H62" s="30" t="str">
        <x:v>Approved</x:v>
      </x:c>
      <x:c r="I62" s="32" t="str">
        <x:v>Not Executed</x:v>
      </x:c>
      <x:c r="J62" s="22" t="str"/>
    </x:row>
    <x:row r="63" ht="35" customHeight="1">
      <x:c r="A63" s="28" t="str">
        <x:v>CRT-012</x:v>
      </x:c>
      <x:c r="B63" s="22" t="str">
        <x:v>Create Opportunity</x:v>
      </x:c>
      <x:c r="C63" s="22" t="str">
        <x:v>/creator/opportunities/create</x:v>
      </x:c>
      <x:c r="D63" s="22" t="str">
        <x:v>Regression</x:v>
      </x:c>
      <x:c r="E63" s="22" t="str">
        <x:v>Backend rejects opportunity creation</x:v>
      </x:c>
      <x:c r="F63" s="22" t="str">
        <x:v>Backend validation information displayed; user remains on form</x:v>
      </x:c>
      <x:c r="G63" s="22" t="str">
        <x:v>Mocked API</x:v>
      </x:c>
      <x:c r="H63" s="30" t="str">
        <x:v>Approved</x:v>
      </x:c>
      <x:c r="I63" s="32" t="str">
        <x:v>Not Executed</x:v>
      </x:c>
      <x:c r="J63" s="22" t="str">
        <x:v>Simulate 422 response through Playwright route interception.</x:v>
      </x:c>
    </x:row>
    <x:row r="64" ht="35" customHeight="1">
      <x:c r="A64" s="28" t="str">
        <x:v>CRT-013</x:v>
      </x:c>
      <x:c r="B64" s="22" t="str">
        <x:v>Create Opportunity</x:v>
      </x:c>
      <x:c r="C64" s="22" t="str">
        <x:v>/creator/opportunities/create</x:v>
      </x:c>
      <x:c r="D64" s="22" t="str">
        <x:v>Regression</x:v>
      </x:c>
      <x:c r="E64" s="22" t="str">
        <x:v>Creation succeeds but publishing fails</x:v>
      </x:c>
      <x:c r="F64" s="22" t="str">
        <x:v>UI reports create success but publish failure; does not show publication success</x:v>
      </x:c>
      <x:c r="G64" s="22" t="str">
        <x:v>Mocked API</x:v>
      </x:c>
      <x:c r="H64" s="30" t="str">
        <x:v>Approved</x:v>
      </x:c>
      <x:c r="I64" s="32" t="str">
        <x:v>Not Executed</x:v>
      </x:c>
      <x:c r="J64" s="22" t="str">
        <x:v>Two requests: successful create then failing publish.</x:v>
      </x:c>
    </x:row>
    <x:row r="65" ht="35" customHeight="1">
      <x:c r="A65" s="28" t="str">
        <x:v>CRT-014</x:v>
      </x:c>
      <x:c r="B65" s="22" t="str">
        <x:v>Create Opportunity</x:v>
      </x:c>
      <x:c r="C65" s="22" t="str">
        <x:v>/creator/opportunities/create</x:v>
      </x:c>
      <x:c r="D65" s="22" t="str">
        <x:v>Regression</x:v>
      </x:c>
      <x:c r="E65" s="22" t="str">
        <x:v>Categories API fails or returns empty list</x:v>
      </x:c>
      <x:c r="F65" s="22" t="str">
        <x:v>Error or empty-category message; cannot submit without valid category</x:v>
      </x:c>
      <x:c r="G65" s="22" t="str">
        <x:v>Mocked API</x:v>
      </x:c>
      <x:c r="H65" s="30" t="str">
        <x:v>Approved</x:v>
      </x:c>
      <x:c r="I65" s="32" t="str">
        <x:v>Not Executed</x:v>
      </x:c>
      <x:c r="J65" s="22" t="str"/>
    </x:row>
    <x:row r="66" ht="35" customHeight="1">
      <x:c r="A66" s="28" t="str">
        <x:v>CRT-015</x:v>
      </x:c>
      <x:c r="B66" s="22" t="str">
        <x:v>Create Opportunity</x:v>
      </x:c>
      <x:c r="C66" s="22" t="str">
        <x:v>/creator/opportunities/create</x:v>
      </x:c>
      <x:c r="D66" s="22" t="str">
        <x:v>Regression</x:v>
      </x:c>
      <x:c r="E66" s="22" t="str">
        <x:v>Click Cancel or Back to Dashboard</x:v>
      </x:c>
      <x:c r="F66" s="22" t="str">
        <x:v>Navigates to /creator/dashboard without submitting an opportunity</x:v>
      </x:c>
      <x:c r="G66" s="22" t="str">
        <x:v>Navigation</x:v>
      </x:c>
      <x:c r="H66" s="30" t="str">
        <x:v>Approved</x:v>
      </x:c>
      <x:c r="I66" s="32" t="str">
        <x:v>Not Executed</x:v>
      </x:c>
      <x:c r="J66" s="22" t="str">
        <x:v>Unsaved changes confirmation not currently implemented.</x:v>
      </x:c>
    </x:row>
  </x:sheetData>
  <x:mergeCells>
    <x:mergeCell ref="A1:J2"/>
    <x:mergeCell ref="A3:J3"/>
  </x:mergeCells>
  <x:conditionalFormatting sqref="I5:I66">
    <x:cfRule type="expression" dxfId="0" priority="1">
      <x:formula>$I5="Passed"</x:formula>
    </x:cfRule>
    <x:cfRule type="expression" dxfId="1" priority="2">
      <x:formula>$I5="Failed"</x:formula>
    </x:cfRule>
  </x:conditionalFormatting>
  <x:dataValidations count="1">
    <x:dataValidation type="list" sqref="I5:I66">
      <x:formula1>"Not Executed,Passed,Failed,Skipped,Blocked"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2479a3474e4f21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7" hidden="0" customWidth="1"/>
    <x:col min="3" max="3" width="56" hidden="0" customWidth="1"/>
    <x:col min="4" max="4" width="42" hidden="0" customWidth="1"/>
    <x:col min="5" max="5" width="49" hidden="0" customWidth="1"/>
    <x:col min="6" max="6" width="20" hidden="0" customWidth="1"/>
  </x:cols>
  <x:sheetData>
    <x:row r="1" ht="40" customHeight="1">
      <x:c r="A1" s="4" t="str">
        <x:v>IMPLEMENTATION  /  SEQUENCED WORK PLAN</x:v>
      </x:c>
      <x:c r="B1" s="4"/>
      <x:c r="C1" s="4"/>
      <x:c r="D1" s="4"/>
      <x:c r="E1" s="4"/>
      <x:c r="F1" s="4"/>
    </x:row>
    <x:row r="2" ht="40" customHeight="1">
      <x:c r="A2" s="4"/>
      <x:c r="B2" s="4"/>
      <x:c r="C2" s="4"/>
      <x:c r="D2" s="4"/>
      <x:c r="E2" s="4"/>
      <x:c r="F2" s="4"/>
    </x:row>
    <x:row r="4" ht="27" customHeight="1">
      <x:c r="A4" s="15" t="str">
        <x:v>Phase</x:v>
      </x:c>
      <x:c r="B4" s="15" t="str">
        <x:v>Workstream</x:v>
      </x:c>
      <x:c r="C4" s="15" t="str">
        <x:v>Implementation activity</x:v>
      </x:c>
      <x:c r="D4" s="15" t="str">
        <x:v>Target location</x:v>
      </x:c>
      <x:c r="E4" s="15" t="str">
        <x:v>Acceptance gate</x:v>
      </x:c>
      <x:c r="F4" s="15" t="str">
        <x:v>Status</x:v>
      </x:c>
    </x:row>
    <x:row r="5" ht="54" customHeight="1">
      <x:c r="A5" s="22" t="str">
        <x:v>01</x:v>
      </x:c>
      <x:c r="B5" s="22" t="str">
        <x:v>Case ID reconciliation</x:v>
      </x:c>
      <x:c r="C5" s="22" t="str">
        <x:v>Map exact IDs to one Playwright test each</x:v>
      </x:c>
      <x:c r="D5" s="22" t="str">
        <x:v>qa/frontend/tests/*</x:v>
      </x:c>
      <x:c r="E5" s="22" t="str">
        <x:v>62 unique collected IDs; no other cases</x:v>
      </x:c>
      <x:c r="F5" s="32" t="str">
        <x:v>Not Started</x:v>
      </x:c>
    </x:row>
    <x:row r="6" ht="54" customHeight="1">
      <x:c r="A6" s="22" t="str">
        <x:v>02</x:v>
      </x:c>
      <x:c r="B6" s="22" t="str">
        <x:v>Shared deterministic fixtures</x:v>
      </x:c>
      <x:c r="C6" s="22" t="str">
        <x:v>Reuse screenshot helper; mock browse, categories, auth, create, publish</x:v>
      </x:c>
      <x:c r="D6" s="22" t="str">
        <x:v>qa/frontend/helpers/*</x:v>
      </x:c>
      <x:c r="E6" s="22" t="str">
        <x:v>No fixture depends on production DB</x:v>
      </x:c>
      <x:c r="F6" s="32" t="str">
        <x:v>Not Started</x:v>
      </x:c>
    </x:row>
    <x:row r="7" ht="54" customHeight="1">
      <x:c r="A7" s="22" t="str">
        <x:v>03</x:v>
      </x:c>
      <x:c r="B7" s="22" t="str">
        <x:v>Home and Browse</x:v>
      </x:c>
      <x:c r="C7" s="22" t="str">
        <x:v>Consolidate existing specs; navigation, filters, modal, retry</x:v>
      </x:c>
      <x:c r="D7" s="22" t="str">
        <x:v>home.spec.js and browse.spec.js</x:v>
      </x:c>
      <x:c r="E7" s="22" t="str">
        <x:v>27 cases match approved scenarios</x:v>
      </x:c>
      <x:c r="F7" s="32" t="str">
        <x:v>Not Started</x:v>
      </x:c>
    </x:row>
    <x:row r="8" ht="54" customHeight="1">
      <x:c r="A8" s="22" t="str">
        <x:v>04</x:v>
      </x:c>
      <x:c r="B8" s="22" t="str">
        <x:v>Creator Dashboard</x:v>
      </x:c>
      <x:c r="C8" s="22" t="str">
        <x:v>Static cards, previews, sidebar, notification popover</x:v>
      </x:c>
      <x:c r="D8" s="22" t="str">
        <x:v>dashboard.spec.js</x:v>
      </x:c>
      <x:c r="E8" s="22" t="str">
        <x:v>10 cases match agreed expectations</x:v>
      </x:c>
      <x:c r="F8" s="32" t="str">
        <x:v>Not Started</x:v>
      </x:c>
    </x:row>
    <x:row r="9" ht="54" customHeight="1">
      <x:c r="A9" s="22" t="str">
        <x:v>05</x:v>
      </x:c>
      <x:c r="B9" s="22" t="str">
        <x:v>My Opportunities</x:v>
      </x:c>
      <x:c r="C9" s="22" t="str">
        <x:v>Auth header, mine API, search/status, retries, routes</x:v>
      </x:c>
      <x:c r="D9" s="22" t="str">
        <x:v>my-opportunities.spec.js</x:v>
      </x:c>
      <x:c r="E9" s="22" t="str">
        <x:v>10 cases; missing details route remains reportable</x:v>
      </x:c>
      <x:c r="F9" s="32" t="str">
        <x:v>Not Started</x:v>
      </x:c>
    </x:row>
    <x:row r="10" ht="54" customHeight="1">
      <x:c r="A10" s="22" t="str">
        <x:v>06</x:v>
      </x:c>
      <x:c r="B10" s="22" t="str">
        <x:v>Create Opportunity</x:v>
      </x:c>
      <x:c r="C10" s="22" t="str">
        <x:v>Categories, validations, draft, publish, errors, navigation</x:v>
      </x:c>
      <x:c r="D10" s="22" t="str">
        <x:v>create-opportunity.spec.js</x:v>
      </x:c>
      <x:c r="E10" s="22" t="str">
        <x:v>15 cases; create/publish calls asserted</x:v>
      </x:c>
      <x:c r="F10" s="32" t="str">
        <x:v>Not Started</x:v>
      </x:c>
    </x:row>
    <x:row r="11" ht="54" customHeight="1">
      <x:c r="A11" s="22" t="str">
        <x:v>07</x:v>
      </x:c>
      <x:c r="B11" s="22" t="str">
        <x:v>QA runner and evidence</x:v>
      </x:c>
      <x:c r="C11" s="22" t="str">
        <x:v>Split suite tags; add all-run; HTML/JUnit/screenshots/traces</x:v>
      </x:c>
      <x:c r="D11" s="22" t="str">
        <x:v>qa/scripts, playwright.config.mjs</x:v>
      </x:c>
      <x:c r="E11" s="22" t="str">
        <x:v>12 + 16 + 34 + 62 selections correct</x:v>
      </x:c>
      <x:c r="F11" s="32" t="str">
        <x:v>Not Started</x:v>
      </x:c>
    </x:row>
    <x:row r="12" ht="54" customHeight="1">
      <x:c r="A12" s="22" t="str">
        <x:v>08</x:v>
      </x:c>
      <x:c r="B12" s="22" t="str">
        <x:v>Actual execution and triage</x:v>
      </x:c>
      <x:c r="C12" s="22" t="str">
        <x:v>Run Smoke, Sanity, Regression, then All; capture defects</x:v>
      </x:c>
      <x:c r="D12" s="22" t="str">
        <x:v>qa/reports/frontend/*</x:v>
      </x:c>
      <x:c r="E12" s="22" t="str">
        <x:v>Matrix updated only from real execution</x:v>
      </x:c>
      <x:c r="F12" s="32" t="str">
        <x:v>Not Started</x:v>
      </x:c>
    </x:row>
  </x:sheetData>
  <x:mergeCells>
    <x:mergeCell ref="A1:F2"/>
  </x:mergeCells>
  <x:dataValidations count="1">
    <x:dataValidation type="list" sqref="F5:F12">
      <x:formula1>"Not Started,In Progress,Completed,Blocked"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c19f9a357943b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8" hidden="0" customWidth="1"/>
    <x:col min="3" max="3" width="85" hidden="0" customWidth="1"/>
    <x:col min="4" max="4" width="76" hidden="0" customWidth="1"/>
  </x:cols>
  <x:sheetData>
    <x:row r="1" ht="40" customHeight="1">
      <x:c r="A1" s="4" t="str">
        <x:v>FIXTURES  /  REPORTS  /  RUN COMMANDS</x:v>
      </x:c>
      <x:c r="B1" s="4"/>
      <x:c r="C1" s="4"/>
      <x:c r="D1" s="4"/>
    </x:row>
    <x:row r="2" ht="40" customHeight="1">
      <x:c r="A2" s="4"/>
      <x:c r="B2" s="4"/>
      <x:c r="C2" s="4"/>
      <x:c r="D2" s="4"/>
    </x:row>
    <x:row r="4" ht="27" customHeight="1">
      <x:c r="A4" s="15" t="str">
        <x:v>Area</x:v>
      </x:c>
      <x:c r="B4" s="15" t="str">
        <x:v>Strategy</x:v>
      </x:c>
      <x:c r="C4" s="15" t="str">
        <x:v>Implementation detail</x:v>
      </x:c>
      <x:c r="D4" s="15" t="str">
        <x:v>Constraint / evidence</x:v>
      </x:c>
    </x:row>
    <x:row r="5" ht="47" customHeight="1">
      <x:c r="A5" s="22" t="str">
        <x:v>Test IDs</x:v>
      </x:c>
      <x:c r="B5" s="22" t="str">
        <x:v>Naming</x:v>
      </x:c>
      <x:c r="C5" s="22" t="str">
        <x:v>HOME-001 @smoke, BRW-018 @regression etc.</x:v>
      </x:c>
      <x:c r="D5" s="22" t="str">
        <x:v>Never recycle an approved ID for a different scenario.</x:v>
      </x:c>
    </x:row>
    <x:row r="6" ht="47" customHeight="1">
      <x:c r="A6" s="22" t="str">
        <x:v>Home</x:v>
      </x:c>
      <x:c r="B6" s="22" t="str">
        <x:v>Static UI + navigation</x:v>
      </x:c>
      <x:c r="C6" s="22" t="str">
        <x:v>Check visible content; click navbar, logo, role cards, View All.</x:v>
      </x:c>
      <x:c r="D6" s="22" t="str">
        <x:v>Featured cards are sample data.</x:v>
      </x:c>
    </x:row>
    <x:row r="7" ht="47" customHeight="1">
      <x:c r="A7" s="22" t="str">
        <x:v>Browse</x:v>
      </x:c>
      <x:c r="B7" s="22" t="str">
        <x:v>Mock opportunity list</x:v>
      </x:c>
      <x:c r="C7" s="22" t="str">
        <x:v>Intercept GET /api/v1/opportunities?*; list of six controlled records.</x:v>
      </x:c>
      <x:c r="D7" s="22" t="str">
        <x:v>Verify filtered/sorted loaded subset, not database state.</x:v>
      </x:c>
    </x:row>
    <x:row r="8" ht="47" customHeight="1">
      <x:c r="A8" s="22" t="str">
        <x:v>Browse recovery</x:v>
      </x:c>
      <x:c r="B8" s="22" t="str">
        <x:v>Mock API error then success</x:v>
      </x:c>
      <x:c r="C8" s="22" t="str">
        <x:v>First response 500 or abort; next response 200 after Try again.</x:v>
      </x:c>
      <x:c r="D8" s="22" t="str">
        <x:v>Do not shut down MySQL/RabbitMQ.</x:v>
      </x:c>
    </x:row>
    <x:row r="9" ht="47" customHeight="1">
      <x:c r="A9" s="22" t="str">
        <x:v>Dashboard</x:v>
      </x:c>
      <x:c r="B9" s="22" t="str">
        <x:v>Static seed data</x:v>
      </x:c>
      <x:c r="C9" s="22" t="str">
        <x:v>Configured metrics, recent applications and preview cards.</x:v>
      </x:c>
      <x:c r="D9" s="22" t="str">
        <x:v>Do not claim live backend dashboard coverage.</x:v>
      </x:c>
    </x:row>
    <x:row r="10" ht="47" customHeight="1">
      <x:c r="A10" s="22" t="str">
        <x:v>My Opportunities</x:v>
      </x:c>
      <x:c r="B10" s="22" t="str">
        <x:v>Mock Creator JWT</x:v>
      </x:c>
      <x:c r="C10" s="22" t="str">
        <x:v>Set localStorage token and assert Authorization on GET /mine.</x:v>
      </x:c>
      <x:c r="D10" s="22" t="str">
        <x:v>No token should not trigger a protected data request.</x:v>
      </x:c>
    </x:row>
    <x:row r="11" ht="47" customHeight="1">
      <x:c r="A11" s="22" t="str">
        <x:v>My Opportunities</x:v>
      </x:c>
      <x:c r="B11" s="22" t="str">
        <x:v>Mock response variants</x:v>
      </x:c>
      <x:c r="C11" s="22" t="str">
        <x:v>Open/draft/closed/cancelled, empty list, 500, second refresh response.</x:v>
      </x:c>
      <x:c r="D11" s="22" t="str">
        <x:v>Preserve status mismatch as reported limitation.</x:v>
      </x:c>
    </x:row>
    <x:row r="12" ht="47" customHeight="1">
      <x:c r="A12" s="22" t="str">
        <x:v>Create</x:v>
      </x:c>
      <x:c r="B12" s="22" t="str">
        <x:v>Mock categories</x:v>
      </x:c>
      <x:c r="C12" s="22" t="str">
        <x:v>Intercept GET /api/v1/categories and test populated/empty/error states.</x:v>
      </x:c>
      <x:c r="D12" s="22" t="str">
        <x:v>Form must not silently submit invalid category.</x:v>
      </x:c>
    </x:row>
    <x:row r="13" ht="47" customHeight="1">
      <x:c r="A13" s="22" t="str">
        <x:v>Create draft</x:v>
      </x:c>
      <x:c r="B13" s="22" t="str">
        <x:v>Mock POST create</x:v>
      </x:c>
      <x:c r="C13" s="22" t="str">
        <x:v>Capture request and verify no publish call.</x:v>
      </x:c>
      <x:c r="D13" s="22" t="str">
        <x:v>Check success message and navigation.</x:v>
      </x:c>
    </x:row>
    <x:row r="14" ht="47" customHeight="1">
      <x:c r="A14" s="22" t="str">
        <x:v>Create publish</x:v>
      </x:c>
      <x:c r="B14" s="22" t="str">
        <x:v>Mock POST create + POST publish</x:v>
      </x:c>
      <x:c r="C14" s="22" t="str">
        <x:v>Return opportunity ID from create and assert publish uses ID.</x:v>
      </x:c>
      <x:c r="D14" s="22" t="str">
        <x:v>If publish fails, assert partial-failure feedback.</x:v>
      </x:c>
    </x:row>
    <x:row r="15" ht="47" customHeight="1">
      <x:c r="A15" s="22" t="str">
        <x:v>Execution evidence</x:v>
      </x:c>
      <x:c r="B15" s="22" t="str">
        <x:v>Screenshot helper</x:v>
      </x:c>
      <x:c r="C15" s="22" t="str">
        <x:v>Import test from screenshot-every-test.js on each spec.</x:v>
      </x:c>
      <x:c r="D15" s="22" t="str">
        <x:v>Capture screenshots for passed and failed cases.</x:v>
      </x:c>
    </x:row>
    <x:row r="16" ht="47" customHeight="1">
      <x:c r="A16" s="22" t="str">
        <x:v>Execution evidence</x:v>
      </x:c>
      <x:c r="B16" s="22" t="str">
        <x:v>Failures</x:v>
      </x:c>
      <x:c r="C16" s="22" t="str">
        <x:v>Enable Playwright trace/video retention on fail.</x:v>
      </x:c>
      <x:c r="D16" s="22" t="str">
        <x:v>HTML, JUnit and error details in per-run report.</x:v>
      </x:c>
    </x:row>
    <x:row r="17" ht="47" customHeight="1">
      <x:c r="A17" s="22" t="str">
        <x:v>Execution evidence</x:v>
      </x:c>
      <x:c r="B17" s="22" t="str">
        <x:v>API captures</x:v>
      </x:c>
      <x:c r="C17" s="22" t="str">
        <x:v>Attach sanitized request/response HTTP status and body summary.</x:v>
      </x:c>
      <x:c r="D17" s="22" t="str">
        <x:v>Redact credentials, JWTs, passwords and secrets.</x:v>
      </x:c>
    </x:row>
    <x:row r="18" ht="47" customHeight="1">
      <x:c r="A18" s="22" t="str">
        <x:v>Runner</x:v>
      </x:c>
      <x:c r="B18" s="22" t="str">
        <x:v>Known code behavior</x:v>
      </x:c>
      <x:c r="C18" s="22" t="str">
        <x:v>Current regression command has no @regression grep.</x:v>
      </x:c>
      <x:c r="D18" s="22" t="str">
        <x:v>Update QA-only runner before claiming 34 regression-only.</x:v>
      </x:c>
    </x:row>
    <x:row r="19" ht="47" customHeight="1">
      <x:c r="A19" s="22" t="str">
        <x:v>Local run</x:v>
      </x:c>
      <x:c r="B19" s="22" t="str">
        <x:v>PowerShell without bypass</x:v>
      </x:c>
      <x:c r="C19" s="22" t="str">
        <x:v>cd GROW-8\qa; npm run test:frontend:smoke</x:v>
      </x:c>
      <x:c r="D19" s="22" t="str">
        <x:v>Requires npm dependencies + browser installed.</x:v>
      </x:c>
    </x:row>
    <x:row r="20" ht="47" customHeight="1">
      <x:c r="A20" s="22" t="str">
        <x:v>Docker build</x:v>
      </x:c>
      <x:c r="B20" s="22" t="str">
        <x:v>Existing QA Dockerfile</x:v>
      </x:c>
      <x:c r="C20" s="22" t="str">
        <x:v>cd GROW-8; docker build -f qa/Dockerfile -t grow8-qa:local .</x:v>
      </x:c>
      <x:c r="D20" s="22" t="str">
        <x:v>No application Docker Compose edits required.</x:v>
      </x:c>
    </x:row>
    <x:row r="21" ht="47" customHeight="1">
      <x:c r="A21" s="22" t="str">
        <x:v>Docker run</x:v>
      </x:c>
      <x:c r="B21" s="22" t="str">
        <x:v>Existing frontend smoke</x:v>
      </x:c>
      <x:c r="C21" s="22" t="str">
        <x:v>docker run --rm -v "${PWD}\qa\reports:/workspace/qa/reports" grow8-qa:local npm run test:frontend:smoke</x:v>
      </x:c>
      <x:c r="D21" s="22" t="str">
        <x:v>Current specs are not yet the consolidated 62-case implementation.</x:v>
      </x:c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cee58aa966a84a31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82" hidden="0" customWidth="1"/>
    <x:col min="3" max="3" width="28" hidden="0" customWidth="1"/>
    <x:col min="4" max="4" width="68" hidden="0" customWidth="1"/>
  </x:cols>
  <x:sheetData>
    <x:row r="1" ht="40" customHeight="1">
      <x:c r="A1" s="4" t="str">
        <x:v>KNOWN GAPS  /  DEFECT VERIFICATION QUEUE</x:v>
      </x:c>
      <x:c r="B1" s="4"/>
      <x:c r="C1" s="4"/>
      <x:c r="D1" s="4"/>
    </x:row>
    <x:row r="2" ht="40" customHeight="1">
      <x:c r="A2" s="4"/>
      <x:c r="B2" s="4"/>
      <x:c r="C2" s="4"/>
      <x:c r="D2" s="4"/>
    </x:row>
    <x:row r="4" ht="27" customHeight="1">
      <x:c r="A4" s="15" t="str">
        <x:v>Area</x:v>
      </x:c>
      <x:c r="B4" s="15" t="str">
        <x:v>Observation</x:v>
      </x:c>
      <x:c r="C4" s="15" t="str">
        <x:v>Associated case IDs</x:v>
      </x:c>
      <x:c r="D4" s="15" t="str">
        <x:v>Handling during implementation</x:v>
      </x:c>
    </x:row>
    <x:row r="5" ht="53" customHeight="1">
      <x:c r="A5" s="22" t="str">
        <x:v>Home</x:v>
      </x:c>
      <x:c r="B5" s="22" t="str">
        <x:v>Featured items use static data; some linked destinations are placeholders</x:v>
      </x:c>
      <x:c r="C5" s="22" t="str">
        <x:v>HOME-005; HOME-006</x:v>
      </x:c>
      <x:c r="D5" s="22" t="str">
        <x:v>Expected current behavior; do not claim live integration</x:v>
      </x:c>
    </x:row>
    <x:row r="6" ht="53" customHeight="1">
      <x:c r="A6" s="22" t="str">
        <x:v>Browse</x:v>
      </x:c>
      <x:c r="B6" s="22" t="str">
        <x:v>Search/filter/sort operates on first up to 100 loaded opportunities</x:v>
      </x:c>
      <x:c r="C6" s="22" t="str">
        <x:v>BRW-003..014</x:v>
      </x:c>
      <x:c r="D6" s="22" t="str">
        <x:v>Coverage limitation, not test failure by itself</x:v>
      </x:c>
    </x:row>
    <x:row r="7" ht="53" customHeight="1">
      <x:c r="A7" s="22" t="str">
        <x:v>Creator Dashboard</x:v>
      </x:c>
      <x:c r="B7" s="22" t="str">
        <x:v>Cards, applications and opportunity previews are sample values</x:v>
      </x:c>
      <x:c r="C7" s="22" t="str">
        <x:v>DASH-002; DASH-004; DASH-006</x:v>
      </x:c>
      <x:c r="D7" s="22" t="str">
        <x:v>Validate against configured fixtures only</x:v>
      </x:c>
    </x:row>
    <x:row r="8" ht="53" customHeight="1">
      <x:c r="A8" s="22" t="str">
        <x:v>My Opportunities</x:v>
      </x:c>
      <x:c r="B8" s="22" t="str">
        <x:v>View targets a missing detail route /creator/opportunities/:id</x:v>
      </x:c>
      <x:c r="C8" s="22" t="str">
        <x:v>MYOP-010</x:v>
      </x:c>
      <x:c r="D8" s="22" t="str">
        <x:v>Potential confirmed UI defect when assertion runs</x:v>
      </x:c>
    </x:row>
    <x:row r="9" ht="53" customHeight="1">
      <x:c r="A9" s="22" t="str">
        <x:v>My Opportunities</x:v>
      </x:c>
      <x:c r="B9" s="22" t="str">
        <x:v>Status filter options differ from backend statuses (cancelled missing)</x:v>
      </x:c>
      <x:c r="C9" s="22" t="str">
        <x:v>MYOP-004</x:v>
      </x:c>
      <x:c r="D9" s="22" t="str">
        <x:v>Record as coverage/functionality gap</x:v>
      </x:c>
    </x:row>
    <x:row r="10" ht="53" customHeight="1">
      <x:c r="A10" s="22" t="str">
        <x:v>Create Opportunity</x:v>
      </x:c>
      <x:c r="B10" s="22" t="str">
        <x:v>Form value onsite may differ from backend on_site enum</x:v>
      </x:c>
      <x:c r="C10" s="22" t="str">
        <x:v>CRT-009; CRT-010</x:v>
      </x:c>
      <x:c r="D10" s="22" t="str">
        <x:v>Inspect network payload; confirm against contract</x:v>
      </x:c>
    </x:row>
    <x:row r="11" ht="53" customHeight="1">
      <x:c r="A11" s="22" t="str">
        <x:v>Create Opportunity</x:v>
      </x:c>
      <x:c r="B11" s="22" t="str">
        <x:v>Compensation currency displayed but not submitted</x:v>
      </x:c>
      <x:c r="C11" s="22" t="str">
        <x:v>CRT-007; CRT-009; CRT-010</x:v>
      </x:c>
      <x:c r="D11" s="22" t="str">
        <x:v>Log as defect only after payload check</x:v>
      </x:c>
    </x:row>
    <x:row r="12" ht="53" customHeight="1">
      <x:c r="A12" s="22" t="str">
        <x:v>Create Opportunity</x:v>
      </x:c>
      <x:c r="B12" s="22" t="str">
        <x:v>Cancel discards entries without warning</x:v>
      </x:c>
      <x:c r="C12" s="22" t="str">
        <x:v>CRT-015</x:v>
      </x:c>
      <x:c r="D12" s="22" t="str">
        <x:v>Current UX limitation</x:v>
      </x:c>
    </x:row>
    <x:row r="13" ht="53" customHeight="1">
      <x:c r="A13" s="22" t="str">
        <x:v>Routing</x:v>
      </x:c>
      <x:c r="B13" s="22" t="str">
        <x:v>Frontend Creator pages do not enforce router-level auth guard</x:v>
      </x:c>
      <x:c r="C13" s="22" t="str">
        <x:v>MYOP-008; CRT-011</x:v>
      </x:c>
      <x:c r="D13" s="22" t="str">
        <x:v>Test current behavior, do not assume login redirect</x:v>
      </x:c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d0d832e025bd4d92"/>
  </x:tableParts>
</x:worksheet>
</file>